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4730" windowHeight="12600" tabRatio="500"/>
  </bookViews>
  <sheets>
    <sheet name="Test Cases" sheetId="1" r:id="rId1"/>
    <sheet name="Summary" sheetId="2" r:id="rId2"/>
    <sheet name="Coverage Map" sheetId="3" r:id="rId3"/>
    <sheet name="Review Flags" sheetId="4" r:id="rId4"/>
  </sheets>
  <definedNames>
    <definedName name="_xlnm._FilterDatabase" localSheetId="0" hidden="1">'Test Cases'!$A$1:$M$62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<sst xmlns="http://schemas.openxmlformats.org/spreadsheetml/2006/main" count="865" uniqueCount="550">
  <si>
    <t>ID</t>
  </si>
  <si>
    <t>Module</t>
  </si>
  <si>
    <t>Title</t>
  </si>
  <si>
    <t>Type</t>
  </si>
  <si>
    <t>Priority</t>
  </si>
  <si>
    <t>Steps</t>
  </si>
  <si>
    <t>Test Data</t>
  </si>
  <si>
    <t>Expected Result</t>
  </si>
  <si>
    <t>Actual Result</t>
  </si>
  <si>
    <t>Status</t>
  </si>
  <si>
    <t>Evidence</t>
  </si>
  <si>
    <t>Notes</t>
  </si>
  <si>
    <t>Review</t>
  </si>
  <si>
    <t>TC-001</t>
  </si>
  <si>
    <t>Booking</t>
  </si>
  <si>
    <t>Successful room reservation</t>
  </si>
  <si>
    <t>Positive</t>
  </si>
  <si>
    <t>High</t>
  </si>
  <si>
    <t>1. Select a room and dates
2. Enter first and last name
3. Enter a valid email
4. Enter a phone number within the allowed length
5. Click Reserve Now</t>
  </si>
  <si>
    <t>Valid name, valid email, phone 11-21 digits</t>
  </si>
  <si>
    <t>Booking is accepted and a clear confirmation is shown</t>
  </si>
  <si>
    <t>Reported as accepted after entering the phone number in the required format.</t>
  </si>
  <si>
    <t>PASS</t>
  </si>
  <si>
    <t>https://drive.google.com/file/d/1hoxzxbmMg-PCvYAGtyb41rE_oqD9SkvS/view?usp=sharing</t>
  </si>
  <si>
    <t xml:space="preserve">The successful reservation not have the deateiles of bokking </t>
  </si>
  <si>
    <t>Notes text is outdated; evidence now attached</t>
  </si>
  <si>
    <t>TC-002</t>
  </si>
  <si>
    <t>Email field is required</t>
  </si>
  <si>
    <t>Negative</t>
  </si>
  <si>
    <t>1. Open booking form
2. Fill name and phone with valid data
3. Leave Email empty
4. Click Reserve Now</t>
  </si>
  <si>
    <t>Email = (empty)</t>
  </si>
  <si>
    <t>Booking is blocked and a validation message is shown</t>
  </si>
  <si>
    <t>Blocked to login and show error massege (must not be empty)</t>
  </si>
  <si>
    <t>https://drive.google.com/file/d/1BjDsk42ONMVeprSOZHP95YYrXhxUPIM_/view?usp=sharing</t>
  </si>
  <si>
    <t>the error massege not clear</t>
  </si>
  <si>
    <t>TC-003</t>
  </si>
  <si>
    <t>Phone number minimum length</t>
  </si>
  <si>
    <t>1. Open booking form
2. Fill other fields correctly
3. Enter a phone shorter than 11 digits
4. Click Reserve Now
5. Retry with a value in the 11-21 range</t>
  </si>
  <si>
    <t>Phone = 10 digits, then 21+ digits</t>
  </si>
  <si>
    <t>Short value is rejected with a message stating the length rule; in-range value is accepted</t>
  </si>
  <si>
    <t>The short phone number was rejected with a length message; a value in the allowed range was accepted.</t>
  </si>
  <si>
    <t>https://drive.google.com/file/d/1vHAcXGGAA2VsUwEeSwzn9F4dBdD5ijrt/view?usp=sharing  https://drive.google.com/file/d/1ekWbMd4_J1aFbL1Nw4J9GLposVEEbU1u/view?usp=sharing</t>
  </si>
  <si>
    <t>Actual written from the reported PASS; confirm it was executed; Evidence missing; Test Data says 21+ digits; steps and expected use 11. Confirm</t>
  </si>
  <si>
    <t>TC-004</t>
  </si>
  <si>
    <t>Booking date selection</t>
  </si>
  <si>
    <t>1. Open room details
2. Select valid check-in and check-out dates
3. Observe selected dates in the calendar
4. Check the price summary and number of nights</t>
  </si>
  <si>
    <t>Any valid future range</t>
  </si>
  <si>
    <t>Selected dates, nights, and total price are reflected correctly</t>
  </si>
  <si>
    <t xml:space="preserve"> the selected dates, number of nights and total price were reflected correctly.</t>
  </si>
  <si>
    <t>Actual written from the reported PASS; confirm it was executed; Evidence missing</t>
  </si>
  <si>
    <t>TC-005</t>
  </si>
  <si>
    <t>Price calculation</t>
  </si>
  <si>
    <t>1. Select a room with a known nightly price
2. Select a 1-night stay
3. Check the price summary and fees</t>
  </si>
  <si>
    <t>Room price per night as shown (e.g. 150), 1 night</t>
  </si>
  <si>
    <t>Total equals nightly price + fees shown on screen</t>
  </si>
  <si>
    <t>As expected: the total matched the nightly price plus the fees shown.</t>
  </si>
  <si>
    <t>Verify the fee amounts on the live page; do not assume them.</t>
  </si>
  <si>
    <t>TC-006</t>
  </si>
  <si>
    <t>Submit empty form</t>
  </si>
  <si>
    <t>1. Open booking form
2. Click Reserve Now without entering anything</t>
  </si>
  <si>
    <t>All fields empty</t>
  </si>
  <si>
    <t>Booking is blocked and validation messages appear for every required field</t>
  </si>
  <si>
    <t>error massege appear</t>
  </si>
  <si>
    <t>https://drive.google.com/file/d/1rqGeyyRyECHOo4Pr3aoFEZHoeRfBdpFv/view?usp=sharing</t>
  </si>
  <si>
    <t>the error massege not clear for the empty feiled</t>
  </si>
  <si>
    <t>Evidence missing</t>
  </si>
  <si>
    <t>TC-007</t>
  </si>
  <si>
    <t>First name below minimum length</t>
  </si>
  <si>
    <t>Boundary</t>
  </si>
  <si>
    <t>Medium</t>
  </si>
  <si>
    <t>1. Enter a 2-character first name
2. Fill other fields correctly
3. Click Reserve Now</t>
  </si>
  <si>
    <t>First name = 2 chars</t>
  </si>
  <si>
    <t>Rejected with a message about the allowed length</t>
  </si>
  <si>
    <t>error massege appear (size must be between 3 and 18)</t>
  </si>
  <si>
    <t xml:space="preserve">https://drive.google.com/file/d/1Gto4Be2eTh8mdct1W-KDhHueqAA-J3j2/view?usp=sharing </t>
  </si>
  <si>
    <t>Evidence missing; Note about the empty field does not fit this case</t>
  </si>
  <si>
    <t>TC-008</t>
  </si>
  <si>
    <t>First name at minimum length</t>
  </si>
  <si>
    <t>1. Enter a 3-character first name
2. Fill other fields correctly
3. Click Reserve Now</t>
  </si>
  <si>
    <t>First name = 3 chars</t>
  </si>
  <si>
    <t>Booking accepted</t>
  </si>
  <si>
    <t>the booking accepted</t>
  </si>
  <si>
    <t>TC-009</t>
  </si>
  <si>
    <t>First name maximum length</t>
  </si>
  <si>
    <t>1. Enter an 18-character first name, submit
2. Repeat with 19 characters</t>
  </si>
  <si>
    <t>First name = 18 chars, then 19 chars</t>
  </si>
  <si>
    <t>18 accepted, 19 rejected</t>
  </si>
  <si>
    <t xml:space="preserve">the booking accepted 18 and rejectt 19 </t>
  </si>
  <si>
    <t>https://drive.google.com/file/d/1nWPy0ULV4MxKSZYSa0ehUzxok_AwIOv5/view?usp=sharing</t>
  </si>
  <si>
    <t>Evidence missing; 19-character rejection not recorded</t>
  </si>
  <si>
    <t>TC-010</t>
  </si>
  <si>
    <t>Last name length limits</t>
  </si>
  <si>
    <t>1. Try last names of 2, 3, 30, and 31 characters with other fields valid</t>
  </si>
  <si>
    <t>Last name = 2 / 3 / 30 / 31 chars</t>
  </si>
  <si>
    <t>Limits are enforced consistently with clear messages</t>
  </si>
  <si>
    <t xml:space="preserve">the limitis is work good </t>
  </si>
  <si>
    <t>https://drive.google.com/file/d/1ZCF2rgsQHvO2qTzvPnd1UtS2O7nXMXqb/view?usp=sharing // https://drive.google.com/file/d/1Kc6mzqoBQxZ2CfeOdn8ZqkkGBj16s0-A/view?usp=sharing</t>
  </si>
  <si>
    <t>Assumed limits; adjust to actual rule.</t>
  </si>
  <si>
    <t>Evidence missing; Only one of four lengths tried; Actual is in Arabic</t>
  </si>
  <si>
    <t>TC-011</t>
  </si>
  <si>
    <t>Phone minimum boundary</t>
  </si>
  <si>
    <t>1. Enter a 10-digit phone, submit
2. Repeat with 11 digits</t>
  </si>
  <si>
    <t>Phone = 10, then 11 digits</t>
  </si>
  <si>
    <t>10 rejected, 11 accepted</t>
  </si>
  <si>
    <t xml:space="preserve"> 10 digits rejected, 11 digits accepted.</t>
  </si>
  <si>
    <t>https://drive.google.com/file/d/1ZKAcp4yhh-XAjVHHY_eKeymY-jib3yKa/view?usp=sharing</t>
  </si>
  <si>
    <t>TC-012</t>
  </si>
  <si>
    <t>Phone maximum boundary</t>
  </si>
  <si>
    <t>1. Enter a 21-digit phone, submit
2. Repeat with 22 digits</t>
  </si>
  <si>
    <t>Phone = 21, then 22 digits</t>
  </si>
  <si>
    <t>21 accepted, 22 rejected</t>
  </si>
  <si>
    <t xml:space="preserve"> 21 digits accepted, 22 digits rejected.</t>
  </si>
  <si>
    <t>https://drive.google.com/file/d/1lM0qtyNzGtbpqe461cqcdJwrDFTXQHdz/view?usp=sharing</t>
  </si>
  <si>
    <t>TC-013</t>
  </si>
  <si>
    <t>Phone with letters or symbols</t>
  </si>
  <si>
    <t>1. Enter a phone containing letters/symbols
2. Fill other fields correctly
3. Click Reserve Now</t>
  </si>
  <si>
    <t>Phone = abc12345678</t>
  </si>
  <si>
    <t>Rejected or a suitable error shown; if accepted, log as an observation</t>
  </si>
  <si>
    <t>بيقبلها بس ما عندي سكرين</t>
  </si>
  <si>
    <t>FAIL</t>
  </si>
  <si>
    <t>Add evidence (screenshot); Actual is in Arabic</t>
  </si>
  <si>
    <t>TC-014</t>
  </si>
  <si>
    <t>Invalid email formats</t>
  </si>
  <si>
    <t>1. Try each invalid email, one at a time, with other fields valid</t>
  </si>
  <si>
    <t>test | test@ | test@.com | a b@c.com</t>
  </si>
  <si>
    <t>Every invalid format is rejected</t>
  </si>
  <si>
    <t xml:space="preserve">rejectesd with error massege </t>
  </si>
  <si>
    <t>https://drive.google.com/file/d/12ex_oNSYRJrNoTV0OU2aa0IuXPOMi6F1/view?usp=sharing</t>
  </si>
  <si>
    <t>TC-015</t>
  </si>
  <si>
    <t>Leading/trailing spaces in fields</t>
  </si>
  <si>
    <t>Low</t>
  </si>
  <si>
    <t>1. Enter name, email, and phone with leading/trailing spaces
2. Submit</t>
  </si>
  <si>
    <t>Fields padded with spaces</t>
  </si>
  <si>
    <t>Handled gracefully (trimmed and accepted, or rejected clearly)</t>
  </si>
  <si>
    <t>بيقبلها لو حطينا رقم في مسافة بيكون نفس العدد المطلوب ما بيعنل trime</t>
  </si>
  <si>
    <t>Add evidence (screenshot); Actual is in Arabic; Evidence cell holds the word trim</t>
  </si>
  <si>
    <t>TC-016</t>
  </si>
  <si>
    <t>Check-out before check-in</t>
  </si>
  <si>
    <t>1. Try to select a check-out date earlier than check-in</t>
  </si>
  <si>
    <t>Check-out &lt; check-in</t>
  </si>
  <si>
    <t>The system prevents selecting such dates</t>
  </si>
  <si>
    <t xml:space="preserve">accepted whev check out &lt; check in </t>
  </si>
  <si>
    <t>https://drive.google.com/file/d/1Ka2HsuKuvCgX_rTZwYVrPD5PaspxXCea/view?usp=sharing</t>
  </si>
  <si>
    <t>TC-017</t>
  </si>
  <si>
    <t>Past dates</t>
  </si>
  <si>
    <t>1. Try to select a date earlier than today</t>
  </si>
  <si>
    <t>A date in the past</t>
  </si>
  <si>
    <t>Past dates are not selectable</t>
  </si>
  <si>
    <t xml:space="preserve">accepted </t>
  </si>
  <si>
    <t>https://drive.google.com/file/d/17mO7Q3_C69bDAugMOCD9owcUw37FsPuN/view?usp=sharing</t>
  </si>
  <si>
    <t>Add evidence (screenshot)</t>
  </si>
  <si>
    <t>TC-018</t>
  </si>
  <si>
    <t>Overlapping booking on the same room</t>
  </si>
  <si>
    <t>1. Book a room for a date range
2. Try to book the same room for an overlapping range</t>
  </si>
  <si>
    <t>Overlapping ranges</t>
  </si>
  <si>
    <t>Second booking is rejected with a clear message</t>
  </si>
  <si>
    <t>بيقبل عادي</t>
  </si>
  <si>
    <t xml:space="preserve">need vidio </t>
  </si>
  <si>
    <t>TC-019</t>
  </si>
  <si>
    <t>Back-to-back booking without overlap</t>
  </si>
  <si>
    <t>1. Book a room
2. Book the same room starting on the previous check-out day</t>
  </si>
  <si>
    <t>Check-in = previous check-out</t>
  </si>
  <si>
    <t>Accepted (verify how the changeover day is handled)</t>
  </si>
  <si>
    <t>TC-020</t>
  </si>
  <si>
    <t>Double-click on Reserve Now</t>
  </si>
  <si>
    <t>1. Fill the form with valid data
2. Double-click Reserve Now quickly</t>
  </si>
  <si>
    <t>Valid data</t>
  </si>
  <si>
    <t>Only one booking is created</t>
  </si>
  <si>
    <t>As expected: only one booking was created.</t>
  </si>
  <si>
    <t>TC-021</t>
  </si>
  <si>
    <t>Cancel booking form</t>
  </si>
  <si>
    <t>1. Open the form and enter some data
2. Click Cancel</t>
  </si>
  <si>
    <t>Partial data</t>
  </si>
  <si>
    <t>Returns to the calendar with no booking created and data not saved</t>
  </si>
  <si>
    <t>As expected: returned to the calendar; no booking created and data not saved.</t>
  </si>
  <si>
    <t>TC-022</t>
  </si>
  <si>
    <t>Search with check-out before check-in</t>
  </si>
  <si>
    <t>1. On home page set Check Out earlier than Check In 2. Click Check Availability</t>
  </si>
  <si>
    <t>Check In 28/10/2026, Check Out 25/10/2026</t>
  </si>
  <si>
    <t>A warning appears and no rooms are offered</t>
  </si>
  <si>
    <t>No warning; all 3 rooms offered, Book now links carry the reversed dates</t>
  </si>
  <si>
    <t>Leads into TC-035 and TC-036</t>
  </si>
  <si>
    <t>TC-023</t>
  </si>
  <si>
    <t>No negative price for reversed dates</t>
  </si>
  <si>
    <t>1. Follow a Book now link from TC-034 2. Check the price summary</t>
  </si>
  <si>
    <t>Reversed dates</t>
  </si>
  <si>
    <t>Dates refused; no negative price shown</t>
  </si>
  <si>
    <t>£100 x -3 nights … Total £-260 shown, Reserve Now still active</t>
  </si>
  <si>
    <t>Also seen as Total £-160 (run 13268)</t>
  </si>
  <si>
    <t>TC-024</t>
  </si>
  <si>
    <t>Booking calendar opens on the chosen month</t>
  </si>
  <si>
    <t>1. Search dates 2 months ahead 2. Click Book now 3. Look at the calendar</t>
  </si>
  <si>
    <t>8–10 Dec 2026</t>
  </si>
  <si>
    <t>Calendar opens on December with the nights marked</t>
  </si>
  <si>
    <t>Opens on October; nights marked only after clicking Next twice</t>
  </si>
  <si>
    <t>https://drive.google.com/file/d/1CgNKMPlJSgbeQlWxdH6_76NivSjDzQb3/view?usp=sharing</t>
  </si>
  <si>
    <t>TC-025</t>
  </si>
  <si>
    <t>Confirmation shows reference and total</t>
  </si>
  <si>
    <t>1. Complete a valid booking 2. Read the confirmation</t>
  </si>
  <si>
    <t>Valid booking</t>
  </si>
  <si>
    <t>Booking reference, room and total shown</t>
  </si>
  <si>
    <t>Only "Booking Confirmed" and the two dates</t>
  </si>
  <si>
    <t>Total (£340) was shown a moment before, then gone</t>
  </si>
  <si>
    <t>TC-026</t>
  </si>
  <si>
    <t>Booked room no longer offered for same dates</t>
  </si>
  <si>
    <t>1. Book a room 2. Search the same dates again</t>
  </si>
  <si>
    <t>Double, 8–10 Dec 2026</t>
  </si>
  <si>
    <t>Booked room not offered</t>
  </si>
  <si>
    <t>Double no longer offered for those dates</t>
  </si>
  <si>
    <t>Run right after booking — demo resets data</t>
  </si>
  <si>
    <t>ID corrected (typo)</t>
  </si>
  <si>
    <t>TC-027</t>
  </si>
  <si>
    <t>Fully booked dates show a clear "no rooms" message</t>
  </si>
  <si>
    <t>1. Search a range where every room is booked</t>
  </si>
  <si>
    <t>Fully booked range</t>
  </si>
  <si>
    <t>Clear "no rooms available" message</t>
  </si>
  <si>
    <t>No rooms listed (run 13269), but message wording not confirmed; run 13272 could not make a fully booked range</t>
  </si>
  <si>
    <t>BLOCKED</t>
  </si>
  <si>
    <t>—</t>
  </si>
  <si>
    <t>Shared demo; retry on a private environment</t>
  </si>
  <si>
    <t>BLOCKED: add retry plan or leave as an environment limitation</t>
  </si>
  <si>
    <t>TC-028</t>
  </si>
  <si>
    <t>Multi-night total price</t>
  </si>
  <si>
    <t>1. Select a 2-night stay 2. Check the price summary</t>
  </si>
  <si>
    <t>Double £150, 2 nights</t>
  </si>
  <si>
    <t>Total = nights × price + fees</t>
  </si>
  <si>
    <t>£150 × 2 = £300 + £25 + £15 = £340</t>
  </si>
  <si>
    <t>TC-029</t>
  </si>
  <si>
    <t>First name trims leading and trailing spaces</t>
  </si>
  <si>
    <t>Functional</t>
  </si>
  <si>
    <t>1. Enter a first name with spaces before and after it. 2. Fill in the other fields correctly. 3. Click Reserve Now.</t>
  </si>
  <si>
    <t>First name = Ali</t>
  </si>
  <si>
    <t>Spaces are trimmed, and the first name is validated using the actual name length (3 characters). Booking is accepted.</t>
  </si>
  <si>
    <t xml:space="preserve">accepted not trim </t>
  </si>
  <si>
    <t>Add evidence (screenshot); Renumbered (was a duplicate TC-011)</t>
  </si>
  <si>
    <t>TC-030</t>
  </si>
  <si>
    <t>Last name trims leading and trailing spaces</t>
  </si>
  <si>
    <t>1. Enter a last name with spaces before and after it. 2. Fill in the other fields correctly. 3. Click Reserve Now.</t>
  </si>
  <si>
    <t>Last name = Ahmad</t>
  </si>
  <si>
    <t>Spaces are trimmed and are not counted toward the last name length. The booking is accepted if the trimmed name meets the validation rules.</t>
  </si>
  <si>
    <t>Add evidence (screenshot); Renumbered (was a duplicate TC-012)</t>
  </si>
  <si>
    <t>TC-031</t>
  </si>
  <si>
    <t>Room cards show correct information</t>
  </si>
  <si>
    <t>1. Open the home page rooms section
2. For each room type check name, price per night, description and amenities
3. Open each room's details page
4. Check the Reserve Now button</t>
  </si>
  <si>
    <t>All room types shown</t>
  </si>
  <si>
    <t>Information is complete and consistent between the list, the details page and the admin room data; Reserve Now opens the booking flow</t>
  </si>
  <si>
    <t>Added to close a coverage gap (room information display).</t>
  </si>
  <si>
    <t>New case: not yet executed</t>
  </si>
  <si>
    <t>TC-032</t>
  </si>
  <si>
    <t>Valid availability search</t>
  </si>
  <si>
    <t>1. On the home page choose valid Check In and Check Out dates
2. Click Check Availability
3. Follow a Book now link</t>
  </si>
  <si>
    <t>Check In and Check Out a few days ahead</t>
  </si>
  <si>
    <t>Only available rooms are listed and the chosen dates are carried to the booking page</t>
  </si>
  <si>
    <t xml:space="preserve">becouse there is many pepole are working in the website </t>
  </si>
  <si>
    <t>TC-033</t>
  </si>
  <si>
    <t>TC-034</t>
  </si>
  <si>
    <t>Contact</t>
  </si>
  <si>
    <t>Successful contact message</t>
  </si>
  <si>
    <t>1. Fill name, email, phone, subject, and message with valid data
2. Submit</t>
  </si>
  <si>
    <t>Valid data in all fields</t>
  </si>
  <si>
    <t>A clear confirmation is shown</t>
  </si>
  <si>
    <t>As expected: a confirmation was shown after sending valid data.</t>
  </si>
  <si>
    <t>https://drive.google.com/file/d/1vDUxShXRsPlthScgjFtkVYgWZ3-YTOBf/view?usp=sharing</t>
  </si>
  <si>
    <t>TC-035</t>
  </si>
  <si>
    <t>Empty contact form</t>
  </si>
  <si>
    <t>1. Submit the contact form with all fields empty</t>
  </si>
  <si>
    <t>Validation messages appear for each required field</t>
  </si>
  <si>
    <t>As expected: validation messages were shown for the required fields.</t>
  </si>
  <si>
    <t>https://drive.google.com/file/d/1E81aPkzNVs6rdQ2fpOjlXlFAYSkzMNfJ/view?usp=sharing</t>
  </si>
  <si>
    <t>TC-036</t>
  </si>
  <si>
    <t>Subject and message length limits</t>
  </si>
  <si>
    <t>1. Try a very short subject and message
2. Try very long values</t>
  </si>
  <si>
    <t>Short and long strings</t>
  </si>
  <si>
    <t>Limits are enforced with clear error messages</t>
  </si>
  <si>
    <t>As expected: the limits were enforced with error messages.</t>
  </si>
  <si>
    <t>Confirm real limits from the messages shown.</t>
  </si>
  <si>
    <t>TC-037</t>
  </si>
  <si>
    <t>Double-click Submit sends one message</t>
  </si>
  <si>
    <t>1. Fill contact form validly 2. Double-click Submit 3. Check owner Messages</t>
  </si>
  <si>
    <t>One message arrives</t>
  </si>
  <si>
    <t>Two identical messages; unread count goes up by 2</t>
  </si>
  <si>
    <t>Status conflicts with Actual (two messages sent but marked PASS)</t>
  </si>
  <si>
    <t>TC-038</t>
  </si>
  <si>
    <t>Phone with letters on contact form</t>
  </si>
  <si>
    <t>1. Enter a letters-only phone 2. Submit</t>
  </si>
  <si>
    <t>Phone = abcdefghijk</t>
  </si>
  <si>
    <t>Rejected with a clear message</t>
  </si>
  <si>
    <t>Accepted; owner sees "Phone: abcdefghijk"</t>
  </si>
  <si>
    <t>TC-039</t>
  </si>
  <si>
    <t>Invalid email on contact form</t>
  </si>
  <si>
    <t>1. Enter a badly formatted email 2. Submit</t>
  </si>
  <si>
    <t>Malformed email</t>
  </si>
  <si>
    <t>Rejected; typed data kept</t>
  </si>
  <si>
    <t>Rejected and typed data kept</t>
  </si>
  <si>
    <t>Runs did not list which formats were tried</t>
  </si>
  <si>
    <t>TC-040</t>
  </si>
  <si>
    <t>Owner reads a message</t>
  </si>
  <si>
    <t>1. Send one enquiry 2. Owner opens it 3. Reload</t>
  </si>
  <si>
    <t>One enquiry</t>
  </si>
  <si>
    <t>Marked read; unread count drops; stays read after reload</t>
  </si>
  <si>
    <t>Unread 3 → 2, still read after reload</t>
  </si>
  <si>
    <t>TC-041</t>
  </si>
  <si>
    <t>Phone shown in full to owner</t>
  </si>
  <si>
    <t>1. Send enquiry with a valid phone 2. Owner opens it</t>
  </si>
  <si>
    <t>Valid phone</t>
  </si>
  <si>
    <t>Full, correct number shown</t>
  </si>
  <si>
    <t>Phone number intact</t>
  </si>
  <si>
    <t>TC-042</t>
  </si>
  <si>
    <t>Admin</t>
  </si>
  <si>
    <t>Admin login with valid credentials</t>
  </si>
  <si>
    <t>1. Open the admin page
2. Enter valid credentials
3. Submit</t>
  </si>
  <si>
    <t>Valid admin credentials</t>
  </si>
  <si>
    <t>Access to the admin dashboard</t>
  </si>
  <si>
    <t>As expected: the admin dashboard opened.</t>
  </si>
  <si>
    <t>Credentials are taken from the project README; do not commit them to the repo.</t>
  </si>
  <si>
    <t>TC-043</t>
  </si>
  <si>
    <t>Admin login with invalid credentials</t>
  </si>
  <si>
    <t>1. Try wrong password, wrong username, and empty fields</t>
  </si>
  <si>
    <t>Invalid combinations</t>
  </si>
  <si>
    <t>Login is rejected with a message that does not leak account information</t>
  </si>
  <si>
    <t>As expected: login was rejected for every invalid combination.</t>
  </si>
  <si>
    <t>TC-044</t>
  </si>
  <si>
    <t>Booking appears in admin panel</t>
  </si>
  <si>
    <t>1. After TC-001, open the admin panel
2. Look for the new booking</t>
  </si>
  <si>
    <t>Booking created in TC-001</t>
  </si>
  <si>
    <t>Booking is listed with correct details</t>
  </si>
  <si>
    <t>As expected: the booking was listed with the correct details.</t>
  </si>
  <si>
    <t>TC-045</t>
  </si>
  <si>
    <t>Contact message appears in admin</t>
  </si>
  <si>
    <t>1. After TC-022, open the Messages section</t>
  </si>
  <si>
    <t>Message sent in TC-022</t>
  </si>
  <si>
    <t>Message appears with full details</t>
  </si>
  <si>
    <t>As expected: the message appeared with its full details.</t>
  </si>
  <si>
    <t>TC-046</t>
  </si>
  <si>
    <t>Add and delete a room</t>
  </si>
  <si>
    <t>1. Add a room with the required details
2. Check it appears on the home page
3. Delete it
4. Check it disappears from both views</t>
  </si>
  <si>
    <t>New room details</t>
  </si>
  <si>
    <t>Room appears, then is removed from both admin and public pages</t>
  </si>
  <si>
    <t>As expected: the room appeared, then was removed from the admin and public pages.</t>
  </si>
  <si>
    <t>TC-047</t>
  </si>
  <si>
    <t>Logout and access after logout</t>
  </si>
  <si>
    <t>1. Log out of the admin area
2. Press Back or open the admin URL directly</t>
  </si>
  <si>
    <t>Logged-out session</t>
  </si>
  <si>
    <t>Access is denied until logging in again</t>
  </si>
  <si>
    <t xml:space="preserve">logout scssfully </t>
  </si>
  <si>
    <t>Restored from the original plan (was missing from the sheet).</t>
  </si>
  <si>
    <t>TC-048</t>
  </si>
  <si>
    <t>Double-click Create adds one room</t>
  </si>
  <si>
    <t>1. Fill room number and price 2. Double-click Create</t>
  </si>
  <si>
    <t>Room 912, £120</t>
  </si>
  <si>
    <t>One room created</t>
  </si>
  <si>
    <t>Two identical rooms "912 Single false 120"</t>
  </si>
  <si>
    <t>TC-049</t>
  </si>
  <si>
    <t>Duplicate room number rejected</t>
  </si>
  <si>
    <t>1. Create a room with a number already in use</t>
  </si>
  <si>
    <t>Existing room number</t>
  </si>
  <si>
    <t>Second room with the same number accepted</t>
  </si>
  <si>
    <t>Seen through the double-click; a separate second create was not recorded</t>
  </si>
  <si>
    <t>TC-050</t>
  </si>
  <si>
    <t>Missing room fields are named</t>
  </si>
  <si>
    <t>1. Leave room number and price empty 2. Click Create</t>
  </si>
  <si>
    <t>Empty number and price</t>
  </si>
  <si>
    <t>Message names the missing field</t>
  </si>
  <si>
    <t>Only "Failed to create room"</t>
  </si>
  <si>
    <t>Editing shows "Failed to update room"</t>
  </si>
  <si>
    <t>TC-051</t>
  </si>
  <si>
    <t>New price reaches guests</t>
  </si>
  <si>
    <t>1. Change a room price 2. Check public list and booking page</t>
  </si>
  <si>
    <t>Single £100 → £105</t>
  </si>
  <si>
    <t>New price shown on both</t>
  </si>
  <si>
    <t>Updated at once on both</t>
  </si>
  <si>
    <t>Price restored afterwards</t>
  </si>
  <si>
    <t>TC-052</t>
  </si>
  <si>
    <t>Save Branding without changes</t>
  </si>
  <si>
    <t>1. Open Branding 2. Click Submit without changes</t>
  </si>
  <si>
    <t>Stored values</t>
  </si>
  <si>
    <t>Saved</t>
  </si>
  <si>
    <t>Refused: "Url should be a correct url format" (the logo address it stored itself)</t>
  </si>
  <si>
    <t>\</t>
  </si>
  <si>
    <t>Blocks TC-052</t>
  </si>
  <si>
    <t>Blocks TC-052, which is not in the sheet</t>
  </si>
  <si>
    <t>TC-053</t>
  </si>
  <si>
    <t>Report calendar</t>
  </si>
  <si>
    <t>1. After a booking open Report 2. Move between months 3. Open "+N more"</t>
  </si>
  <si>
    <t>Booking from TC-001</t>
  </si>
  <si>
    <t>Booking shown; months navigate; "+N more" opens the day's bookings</t>
  </si>
  <si>
    <t>Booking shown on 8–9 Dec; months navigate; extra bookings folded under "+2 more"</t>
  </si>
  <si>
    <t>Opening "+N more" not recorded separately</t>
  </si>
  <si>
    <t>TC-054</t>
  </si>
  <si>
    <t>Admin pages without logging in</t>
  </si>
  <si>
    <t>1. Without logging in, open the admin URL directly
2. Try the rooms, report and messages sections</t>
  </si>
  <si>
    <t>No session</t>
  </si>
  <si>
    <t>Access is denied and the login page is shown; no admin data is visible</t>
  </si>
  <si>
    <t>Added to close a coverage gap (access control).</t>
  </si>
  <si>
    <t>TC-055</t>
  </si>
  <si>
    <t>Edit an existing room</t>
  </si>
  <si>
    <t>1. Open a room in the admin panel
2. Change price and description, save
3. Check the public room list</t>
  </si>
  <si>
    <t>Single room, new price and description</t>
  </si>
  <si>
    <t>Changes are saved, shown to guests, and invalid values are rejected with a clear message</t>
  </si>
  <si>
    <t>Added to close a coverage gap (room update).</t>
  </si>
  <si>
    <t>TC-056</t>
  </si>
  <si>
    <t>Navigation</t>
  </si>
  <si>
    <t>Amenities top-menu link</t>
  </si>
  <si>
    <t>1. Click Amenities in the top menu</t>
  </si>
  <si>
    <t>Goes to the Amenities section</t>
  </si>
  <si>
    <t>TC-057</t>
  </si>
  <si>
    <t>Footer Quick Links</t>
  </si>
  <si>
    <t>1. Click each footer Quick Link</t>
  </si>
  <si>
    <t>Home, Rooms, Booking, Contact</t>
  </si>
  <si>
    <t>Each goes to its section</t>
  </si>
  <si>
    <t>All jump to the top of the page</t>
  </si>
  <si>
    <t>Same links in the top menu work</t>
  </si>
  <si>
    <t>TC-058</t>
  </si>
  <si>
    <t>Cookie and Privacy pages</t>
  </si>
  <si>
    <t>1. Open the Cookie and Privacy links</t>
  </si>
  <si>
    <t>Pages open correctly</t>
  </si>
  <si>
    <t>Not tested</t>
  </si>
  <si>
    <t>Skipped by runs 13268, 13272</t>
  </si>
  <si>
    <t>Status conflicts with Actual (not tested but marked PASS)</t>
  </si>
  <si>
    <t>TC-059</t>
  </si>
  <si>
    <t>Exploratory</t>
  </si>
  <si>
    <t>Special characters in input fields</t>
  </si>
  <si>
    <t>1. Enter script/SQL-like strings in name and message fields
2. Submit and check how data is displayed and stored</t>
  </si>
  <si>
    <t>&lt;script&gt;alert(1)&lt;/script&gt; ; ' OR 1=1 --</t>
  </si>
  <si>
    <t>Input is handled safely and not executed; observation only, no exploitation</t>
  </si>
  <si>
    <t>As expected: the input was not executed and was displayed safely.</t>
  </si>
  <si>
    <t>TC-060</t>
  </si>
  <si>
    <t>Responsive layout</t>
  </si>
  <si>
    <t>1. Use DevTools to emulate mobile and tablet widths
2. Try the booking flow</t>
  </si>
  <si>
    <t>Mobile and tablet viewports</t>
  </si>
  <si>
    <t>Layout is usable and the booking flow works</t>
  </si>
  <si>
    <t>As expected: the layout was usable and the booking flow worked on mobile and tablet widths.</t>
  </si>
  <si>
    <t>TC-061</t>
  </si>
  <si>
    <t>Refresh during form filling</t>
  </si>
  <si>
    <t>1. Partially fill the booking form
2. Refresh the page
3. Observe data and dates</t>
  </si>
  <si>
    <t>Partially filled form</t>
  </si>
  <si>
    <t>Behaviour is sensible and no corrupted state appears</t>
  </si>
  <si>
    <t>As expected: no corrupted state after refreshing.</t>
  </si>
  <si>
    <t>Test Execution Summary</t>
  </si>
  <si>
    <t>Count</t>
  </si>
  <si>
    <t>% of total</t>
  </si>
  <si>
    <t>NOT RUN</t>
  </si>
  <si>
    <t>Total</t>
  </si>
  <si>
    <t>Executed (PASS + FAIL + BLOCKED)</t>
  </si>
  <si>
    <t>Pass rate of executed (PASS / (PASS+FAIL))</t>
  </si>
  <si>
    <t>By module</t>
  </si>
  <si>
    <t>By type</t>
  </si>
  <si>
    <t>Test date:</t>
  </si>
  <si>
    <t>(fill in)</t>
  </si>
  <si>
    <t>Environment:</t>
  </si>
  <si>
    <t>(browser, OS, app URL)</t>
  </si>
  <si>
    <t>Tester:</t>
  </si>
  <si>
    <t>Haifa Samir</t>
  </si>
  <si>
    <t>Open Review Flags and the Review column on the Test Cases sheet before submission.</t>
  </si>
  <si>
    <t>Coverage Map: system areas vs test cases</t>
  </si>
  <si>
    <t>Area</t>
  </si>
  <si>
    <t>Test cases</t>
  </si>
  <si>
    <t>Coverage</t>
  </si>
  <si>
    <t>Comment</t>
  </si>
  <si>
    <t>Room browsing and room information</t>
  </si>
  <si>
    <t>Covered (new, not run)</t>
  </si>
  <si>
    <t>Room cards, details page and Reserve Now entry point had no case before</t>
  </si>
  <si>
    <t>Availability search (home page)</t>
  </si>
  <si>
    <t>TC-034, 039, 040, 061</t>
  </si>
  <si>
    <t>Covered</t>
  </si>
  <si>
    <t>Positive search added; fully-booked message still blocked (TC-040)</t>
  </si>
  <si>
    <t>Booking form validation</t>
  </si>
  <si>
    <t>TC-002, 003, 006-015, 058, 059</t>
  </si>
  <si>
    <t>Names, email, phone boundaries and trimming</t>
  </si>
  <si>
    <t>Booking dates and rules</t>
  </si>
  <si>
    <t>TC-016, 017, 018, 019, 035, 037</t>
  </si>
  <si>
    <t>Reversed, past, overlapping and back-to-back dates</t>
  </si>
  <si>
    <t>Price and confirmation</t>
  </si>
  <si>
    <t>TC-004, 005, 038, 041</t>
  </si>
  <si>
    <t>Single and multi-night totals, confirmation content</t>
  </si>
  <si>
    <t>Booking error handling and double submit</t>
  </si>
  <si>
    <t>TC-020, 036</t>
  </si>
  <si>
    <t>Contact form</t>
  </si>
  <si>
    <t>TC-022, 023, 024, 042-046</t>
  </si>
  <si>
    <t>Validation, double submit, owner reading</t>
  </si>
  <si>
    <t>Admin login and access control</t>
  </si>
  <si>
    <t>TC-025, 026, 030, 062</t>
  </si>
  <si>
    <t>Logout and direct-URL access are new, not run</t>
  </si>
  <si>
    <t>Admin rooms management</t>
  </si>
  <si>
    <t>TC-029, 047, 048, 049, 050, 063</t>
  </si>
  <si>
    <t>Create, duplicate, validation messages, price update; edit is new</t>
  </si>
  <si>
    <t>Admin messages</t>
  </si>
  <si>
    <t>TC-028, 045, 046</t>
  </si>
  <si>
    <t>Admin bookings report</t>
  </si>
  <si>
    <t>TC-027, 053</t>
  </si>
  <si>
    <t>Admin branding</t>
  </si>
  <si>
    <t>Partial</t>
  </si>
  <si>
    <t>Blocked by a defect; changing branding values not tested</t>
  </si>
  <si>
    <t>Navigation and static pages</t>
  </si>
  <si>
    <t>TC-055, 056, 057</t>
  </si>
  <si>
    <t>TC-057 not actually tested</t>
  </si>
  <si>
    <t>Responsive, refresh, special characters</t>
  </si>
  <si>
    <t>TC-031, 032, 033</t>
  </si>
  <si>
    <t>Results lack actual text and evidence</t>
  </si>
  <si>
    <t>Accessibility and keyboard use</t>
  </si>
  <si>
    <t>none</t>
  </si>
  <si>
    <t>Gap</t>
  </si>
  <si>
    <t>Low priority; optional to add</t>
  </si>
  <si>
    <t>API (services layer)</t>
  </si>
  <si>
    <t>Out of scope</t>
  </si>
  <si>
    <t>Excluded by decision; listed as a risk in the strategy</t>
  </si>
  <si>
    <t>Performance and penetration testing</t>
  </si>
  <si>
    <t>Excluded in the strategy</t>
  </si>
  <si>
    <t>Items to fix before submission</t>
  </si>
  <si>
    <t>Issue</t>
  </si>
  <si>
    <t>What to do</t>
  </si>
  <si>
    <t>TC-036, TC-042, TC-057</t>
  </si>
  <si>
    <t>Status conflicts with the actual result (PASS while the actual describes a failure or no test)</t>
  </si>
  <si>
    <t>Set the status that matches what you observed: FAIL for TC-036 and TC-042 if the actual is right, NOT RUN for TC-057</t>
  </si>
  <si>
    <t>TC-003, TC-004, TC-005, TC-011, TC-012, TC-019, TC-020, TC-021, TC-022, TC-023, TC-024, TC-025, TC-026, TC-027, TC-028, TC-029, TC-031, TC-032, TC-033</t>
  </si>
  <si>
    <t>Actual result written from the reported PASS status, not from observation</t>
  </si>
  <si>
    <t>Confirm each was really executed and replace with what you saw (messages, values), or set NOT RUN</t>
  </si>
  <si>
    <t>TC-003, TC-004, TC-005, TC-006, TC-007, TC-008, TC-009, TC-010, TC-011, TC-012, TC-014, TC-019, TC-020, TC-021, TC-022, TC-023, TC-024, TC-025, TC-026, TC-027, TC-028, TC-029, TC-031, TC-032, TC-033</t>
  </si>
  <si>
    <t>PASS with no evidence</t>
  </si>
  <si>
    <t>Add a screenshot link for each, or set NOT RUN</t>
  </si>
  <si>
    <t>TC-013, TC-015, TC-016, TC-017, TC-018, TC-058, TC-059</t>
  </si>
  <si>
    <t>FAIL without evidence</t>
  </si>
  <si>
    <t>Reproduce and attach a screenshot before reporting as a defect</t>
  </si>
  <si>
    <t>TC-009, TC-010</t>
  </si>
  <si>
    <t>Boundary cases only partly executed</t>
  </si>
  <si>
    <t>Record each length tried (18/19 characters; 2/3/30/31 characters)</t>
  </si>
  <si>
    <t>Test Data (21+ digits) does not match the steps and expected result (11 digits)</t>
  </si>
  <si>
    <t>Correct the test data</t>
  </si>
  <si>
    <t>TC-013, TC-015, TC-016, TC-010, TC-018</t>
  </si>
  <si>
    <t>Actual results written in Arabic</t>
  </si>
  <si>
    <t>Rewrite in English for the submission</t>
  </si>
  <si>
    <t>Runs 13268 to 13277</t>
  </si>
  <si>
    <t>Evidence cites run numbers</t>
  </si>
  <si>
    <t>Explain what a run is in the README, or attach screenshots, so a reviewer can trace them</t>
  </si>
  <si>
    <t>TC-001, TC-002</t>
  </si>
  <si>
    <t>Drive links</t>
  </si>
  <si>
    <t>Check the links open for anyone with the link</t>
  </si>
  <si>
    <t>TC-007, TC-008, TC-009</t>
  </si>
  <si>
    <t>Same note about the empty field copied into three cases</t>
  </si>
  <si>
    <t>Replace with a note that fits each case</t>
  </si>
  <si>
    <t>TC-052, TC-054</t>
  </si>
  <si>
    <t>IDs missing from the sheet (TC-051 says it blocks TC-052)</t>
  </si>
  <si>
    <t>Add the cases or note that they were dropped</t>
  </si>
  <si>
    <t>TC-058, TC-059</t>
  </si>
  <si>
    <t>Renumbered from duplicate TC-011 and TC-012</t>
  </si>
  <si>
    <t>No action; update any reference you made to them</t>
  </si>
  <si>
    <t>Info</t>
  </si>
  <si>
    <t>TC-030, 060, 061, 062, 063</t>
  </si>
  <si>
    <t>New cases added to close coverage gaps, all NOT RUN</t>
  </si>
  <si>
    <t>Run them or delete the ones you do not want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</si>
</sst>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s>
  <fonts count="28">
    <font>
      <sz val="11"/>
      <color theme="1"/>
      <name val="Calibri"/>
      <charset val="1"/>
    </font>
    <font>
      <b/>
      <sz val="14"/>
      <name val="Arial"/>
      <charset val="1"/>
    </font>
    <font>
      <b/>
      <sz val="11"/>
      <color rgb="FFFFFFFF"/>
      <name val="Arial"/>
      <charset val="1"/>
    </font>
    <font>
      <sz val="10"/>
      <name val="Arial"/>
      <charset val="1"/>
    </font>
    <font>
      <sz val="11"/>
      <name val="Arial"/>
      <charset val="1"/>
    </font>
    <font>
      <b/>
      <sz val="11"/>
      <name val="Arial"/>
      <charset val="1"/>
    </font>
    <font>
      <u/>
      <sz val="10"/>
      <color rgb="FF0563C1"/>
      <name val="Arial"/>
      <charset val="1"/>
    </font>
    <font>
      <u/>
      <sz val="11"/>
      <color rgb="FF800080"/>
      <name val="Calibri"/>
      <charset val="0"/>
      <scheme val="minor"/>
    </font>
    <font>
      <u/>
      <sz val="11"/>
      <color rgb="FF0000FF"/>
      <name val="Calibri"/>
      <charset val="0"/>
      <scheme val="minor"/>
    </font>
    <font>
      <sz val="10"/>
      <name val="Arial"/>
      <charset val="134"/>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3864"/>
        <bgColor rgb="FF333333"/>
      </patternFill>
    </fill>
    <fill>
      <patternFill patternType="solid">
        <fgColor rgb="FFFFF2CC"/>
        <bgColor rgb="FFFFEB9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Border="0" applyAlignment="0" applyProtection="0"/>
    <xf numFmtId="44" fontId="9" fillId="0" borderId="0" applyBorder="0" applyAlignment="0" applyProtection="0"/>
    <xf numFmtId="9" fontId="9" fillId="0" borderId="0" applyBorder="0" applyAlignment="0" applyProtection="0"/>
    <xf numFmtId="41" fontId="9" fillId="0" borderId="0" applyBorder="0" applyAlignment="0" applyProtection="0"/>
    <xf numFmtId="42" fontId="9" fillId="0" borderId="0" applyBorder="0" applyAlignment="0" applyProtection="0"/>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0"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16">
    <xf numFmtId="0" fontId="0" fillId="0" borderId="0" xfId="0"/>
    <xf numFmtId="0" fontId="0" fillId="0" borderId="0" xfId="0" applyAlignment="1"/>
    <xf numFmtId="0" fontId="1" fillId="0" borderId="0" xfId="0" applyFont="1" applyAlignment="1"/>
    <xf numFmtId="0" fontId="2" fillId="2" borderId="0" xfId="0" applyFont="1" applyFill="1" applyAlignment="1">
      <alignment horizontal="center"/>
    </xf>
    <xf numFmtId="0" fontId="3" fillId="0" borderId="1" xfId="0" applyFont="1" applyBorder="1" applyAlignment="1">
      <alignment vertical="top" wrapText="1"/>
    </xf>
    <xf numFmtId="0" fontId="4" fillId="0" borderId="0" xfId="0" applyFont="1" applyAlignment="1"/>
    <xf numFmtId="176" fontId="4" fillId="0" borderId="0" xfId="0" applyNumberFormat="1" applyFont="1" applyAlignment="1"/>
    <xf numFmtId="0" fontId="5" fillId="0" borderId="0" xfId="0" applyFont="1" applyAlignment="1"/>
    <xf numFmtId="176" fontId="5" fillId="0" borderId="0" xfId="0" applyNumberFormat="1" applyFont="1" applyAlignment="1"/>
    <xf numFmtId="0" fontId="2"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7" fillId="0" borderId="1" xfId="6" applyFont="1" applyBorder="1" applyAlignment="1">
      <alignment horizontal="left" vertical="top" wrapText="1"/>
    </xf>
    <xf numFmtId="0" fontId="8" fillId="0" borderId="1" xfId="6"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ill>
        <patternFill patternType="solid">
          <bgColor rgb="FFD9D9D9"/>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CCFFFF"/>
      <rgbColor rgb="00660066"/>
      <rgbColor rgb="00FF8080"/>
      <rgbColor rgb="000563C1"/>
      <rgbColor rgb="00D9D9D9"/>
      <rgbColor rgb="00000080"/>
      <rgbColor rgb="00FF00FF"/>
      <rgbColor rgb="00FFFF00"/>
      <rgbColor rgb="0000FFFF"/>
      <rgbColor rgb="00800080"/>
      <rgbColor rgb="00800000"/>
      <rgbColor rgb="00008080"/>
      <rgbColor rgb="000000FF"/>
      <rgbColor rgb="0000CCFF"/>
      <rgbColor rgb="00CCFFFF"/>
      <rgbColor rgb="00C6EFCE"/>
      <rgbColor rgb="00FFEB9C"/>
      <rgbColor rgb="0099CCFF"/>
      <rgbColor rgb="00FF99CC"/>
      <rgbColor rgb="00CC99FF"/>
      <rgbColor rgb="00FFC7CE"/>
      <rgbColor rgb="003366FF"/>
      <rgbColor rgb="0033CCCC"/>
      <rgbColor rgb="0099CC00"/>
      <rgbColor rgb="00FFCC00"/>
      <rgbColor rgb="00FF9900"/>
      <rgbColor rgb="00FF6600"/>
      <rgbColor rgb="0066669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drive.google.com/file/d/1CgNKMPlJSgbeQlWxdH6_76NivSjDzQb3/view?usp=sharing" TargetMode="External"/><Relationship Id="rId6" Type="http://schemas.openxmlformats.org/officeDocument/2006/relationships/hyperlink" Target="https://drive.google.com/file/d/1ZCF2rgsQHvO2qTzvPnd1UtS2O7nXMXqb/view?usp=sharing // https://drive.google.com/file/d/1Kc6mzqoBQxZ2CfeOdn8ZqkkGBj16s0-A/view?usp=sharing" TargetMode="External"/><Relationship Id="rId5" Type="http://schemas.openxmlformats.org/officeDocument/2006/relationships/hyperlink" Target="https://drive.google.com/file/d/1rqGeyyRyECHOo4Pr3aoFEZHoeRfBdpFv/view?usp=sharing" TargetMode="External"/><Relationship Id="rId4" Type="http://schemas.openxmlformats.org/officeDocument/2006/relationships/hyperlink" Target="https://drive.google.com/file/d/1Gto4Be2eTh8mdct1W-KDhHueqAA-J3j2/view?usp=sharing" TargetMode="External"/><Relationship Id="rId3" Type="http://schemas.openxmlformats.org/officeDocument/2006/relationships/hyperlink" Target="https://drive.google.com/file/d/1vHAcXGGAA2VsUwEeSwzn9F4dBdD5ijrt/view?usp=sharing  https://drive.google.com/file/d/1ekWbMd4_J1aFbL1Nw4J9GLposVEEbU1u/view?usp=sharing" TargetMode="External"/><Relationship Id="rId2" Type="http://schemas.openxmlformats.org/officeDocument/2006/relationships/hyperlink" Target="https://drive.google.com/file/d/1BjDsk42ONMVeprSOZHP95YYrXhxUPIM_/view?usp=sharing" TargetMode="External"/><Relationship Id="rId1" Type="http://schemas.openxmlformats.org/officeDocument/2006/relationships/hyperlink" Target="https://drive.google.com/file/d/1hoxzxbmMg-PCvYAGtyb41rE_oqD9SkvS/view?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2"/>
  <sheetViews>
    <sheetView tabSelected="1" zoomScale="142" zoomScaleNormal="142" workbookViewId="0">
      <pane xSplit="3" ySplit="1" topLeftCell="J14" activePane="bottomRight" state="frozen"/>
      <selection/>
      <selection pane="topRight"/>
      <selection pane="bottomLeft"/>
      <selection pane="bottomRight" activeCell="A2" sqref="A2:A62"/>
    </sheetView>
  </sheetViews>
  <sheetFormatPr defaultColWidth="8.67619047619048" defaultRowHeight="15"/>
  <cols>
    <col min="1" max="1" width="9" style="1" customWidth="1"/>
    <col min="2" max="2" width="12" style="1" customWidth="1"/>
    <col min="3" max="3" width="32" style="1" customWidth="1"/>
    <col min="4" max="4" width="12" style="1" customWidth="1"/>
    <col min="5" max="5" width="10" style="1" customWidth="1"/>
    <col min="6" max="6" width="48" style="1" customWidth="1"/>
    <col min="7" max="7" width="28" style="1" customWidth="1"/>
    <col min="8" max="8" width="40" style="1" customWidth="1"/>
    <col min="9" max="9" width="34" style="1" customWidth="1"/>
    <col min="10" max="10" width="10" style="1" customWidth="1"/>
    <col min="11" max="11" width="24" style="1" customWidth="1"/>
    <col min="12" max="12" width="34" style="1" customWidth="1"/>
    <col min="13" max="13" width="36" style="1" customWidth="1"/>
  </cols>
  <sheetData>
    <row r="1" ht="24" customHeight="1" spans="1:13">
      <c r="A1" s="9" t="s">
        <v>0</v>
      </c>
      <c r="B1" s="9" t="s">
        <v>1</v>
      </c>
      <c r="C1" s="9" t="s">
        <v>2</v>
      </c>
      <c r="D1" s="9" t="s">
        <v>3</v>
      </c>
      <c r="E1" s="9" t="s">
        <v>4</v>
      </c>
      <c r="F1" s="9" t="s">
        <v>5</v>
      </c>
      <c r="G1" s="9" t="s">
        <v>6</v>
      </c>
      <c r="H1" s="9" t="s">
        <v>7</v>
      </c>
      <c r="I1" s="9" t="s">
        <v>8</v>
      </c>
      <c r="J1" s="9" t="s">
        <v>9</v>
      </c>
      <c r="K1" s="9" t="s">
        <v>10</v>
      </c>
      <c r="L1" s="9" t="s">
        <v>11</v>
      </c>
      <c r="M1" s="9" t="s">
        <v>12</v>
      </c>
    </row>
    <row r="2" ht="57" customHeight="1" spans="1:13">
      <c r="A2" s="10" t="s">
        <v>13</v>
      </c>
      <c r="B2" s="10" t="s">
        <v>14</v>
      </c>
      <c r="C2" s="11" t="s">
        <v>15</v>
      </c>
      <c r="D2" s="10" t="s">
        <v>16</v>
      </c>
      <c r="E2" s="10" t="s">
        <v>17</v>
      </c>
      <c r="F2" s="11" t="s">
        <v>18</v>
      </c>
      <c r="G2" s="11" t="s">
        <v>19</v>
      </c>
      <c r="H2" s="11" t="s">
        <v>20</v>
      </c>
      <c r="I2" s="11" t="s">
        <v>21</v>
      </c>
      <c r="J2" s="10" t="s">
        <v>22</v>
      </c>
      <c r="K2" s="12" t="s">
        <v>23</v>
      </c>
      <c r="L2" s="11" t="s">
        <v>24</v>
      </c>
      <c r="M2" s="13" t="s">
        <v>25</v>
      </c>
    </row>
    <row r="3" ht="45.75" customHeight="1" spans="1:13">
      <c r="A3" s="10" t="s">
        <v>26</v>
      </c>
      <c r="B3" s="10" t="s">
        <v>14</v>
      </c>
      <c r="C3" s="11" t="s">
        <v>27</v>
      </c>
      <c r="D3" s="10" t="s">
        <v>28</v>
      </c>
      <c r="E3" s="10" t="s">
        <v>17</v>
      </c>
      <c r="F3" s="11" t="s">
        <v>29</v>
      </c>
      <c r="G3" s="11" t="s">
        <v>30</v>
      </c>
      <c r="H3" s="11" t="s">
        <v>31</v>
      </c>
      <c r="I3" s="11" t="s">
        <v>32</v>
      </c>
      <c r="J3" s="10" t="s">
        <v>22</v>
      </c>
      <c r="K3" s="12" t="s">
        <v>33</v>
      </c>
      <c r="L3" s="11" t="s">
        <v>34</v>
      </c>
      <c r="M3" s="11"/>
    </row>
    <row r="4" ht="57" customHeight="1" spans="1:13">
      <c r="A4" s="10" t="s">
        <v>35</v>
      </c>
      <c r="B4" s="10" t="s">
        <v>14</v>
      </c>
      <c r="C4" s="11" t="s">
        <v>36</v>
      </c>
      <c r="D4" s="10" t="s">
        <v>28</v>
      </c>
      <c r="E4" s="10" t="s">
        <v>17</v>
      </c>
      <c r="F4" s="11" t="s">
        <v>37</v>
      </c>
      <c r="G4" s="11" t="s">
        <v>38</v>
      </c>
      <c r="H4" s="11" t="s">
        <v>39</v>
      </c>
      <c r="I4" s="11" t="s">
        <v>40</v>
      </c>
      <c r="J4" s="10" t="s">
        <v>22</v>
      </c>
      <c r="K4" s="14" t="s">
        <v>41</v>
      </c>
      <c r="L4" s="11"/>
      <c r="M4" s="13" t="s">
        <v>42</v>
      </c>
    </row>
    <row r="5" ht="45.75" customHeight="1" spans="1:13">
      <c r="A5" s="10" t="s">
        <v>43</v>
      </c>
      <c r="B5" s="10" t="s">
        <v>14</v>
      </c>
      <c r="C5" s="11" t="s">
        <v>44</v>
      </c>
      <c r="D5" s="10" t="s">
        <v>16</v>
      </c>
      <c r="E5" s="10" t="s">
        <v>17</v>
      </c>
      <c r="F5" s="11" t="s">
        <v>45</v>
      </c>
      <c r="G5" s="11" t="s">
        <v>46</v>
      </c>
      <c r="H5" s="11" t="s">
        <v>47</v>
      </c>
      <c r="I5" s="11" t="s">
        <v>48</v>
      </c>
      <c r="J5" s="10" t="s">
        <v>22</v>
      </c>
      <c r="K5" s="11"/>
      <c r="L5" s="11"/>
      <c r="M5" s="13" t="s">
        <v>49</v>
      </c>
    </row>
    <row r="6" ht="34.5" customHeight="1" spans="1:13">
      <c r="A6" s="10" t="s">
        <v>50</v>
      </c>
      <c r="B6" s="10" t="s">
        <v>14</v>
      </c>
      <c r="C6" s="11" t="s">
        <v>51</v>
      </c>
      <c r="D6" s="10" t="s">
        <v>16</v>
      </c>
      <c r="E6" s="10" t="s">
        <v>17</v>
      </c>
      <c r="F6" s="11" t="s">
        <v>52</v>
      </c>
      <c r="G6" s="11" t="s">
        <v>53</v>
      </c>
      <c r="H6" s="11" t="s">
        <v>54</v>
      </c>
      <c r="I6" s="11" t="s">
        <v>55</v>
      </c>
      <c r="J6" s="10" t="s">
        <v>22</v>
      </c>
      <c r="K6" s="11"/>
      <c r="L6" s="11" t="s">
        <v>56</v>
      </c>
      <c r="M6" s="13" t="s">
        <v>49</v>
      </c>
    </row>
    <row r="7" ht="23.25" customHeight="1" spans="1:13">
      <c r="A7" s="10" t="s">
        <v>57</v>
      </c>
      <c r="B7" s="10" t="s">
        <v>14</v>
      </c>
      <c r="C7" s="11" t="s">
        <v>58</v>
      </c>
      <c r="D7" s="10" t="s">
        <v>28</v>
      </c>
      <c r="E7" s="10" t="s">
        <v>17</v>
      </c>
      <c r="F7" s="11" t="s">
        <v>59</v>
      </c>
      <c r="G7" s="11" t="s">
        <v>60</v>
      </c>
      <c r="H7" s="11" t="s">
        <v>61</v>
      </c>
      <c r="I7" s="11" t="s">
        <v>62</v>
      </c>
      <c r="J7" s="10" t="s">
        <v>22</v>
      </c>
      <c r="K7" s="15" t="s">
        <v>63</v>
      </c>
      <c r="L7" s="11" t="s">
        <v>64</v>
      </c>
      <c r="M7" s="13" t="s">
        <v>65</v>
      </c>
    </row>
    <row r="8" ht="34.5" customHeight="1" spans="1:13">
      <c r="A8" s="10" t="s">
        <v>66</v>
      </c>
      <c r="B8" s="10" t="s">
        <v>14</v>
      </c>
      <c r="C8" s="11" t="s">
        <v>67</v>
      </c>
      <c r="D8" s="10" t="s">
        <v>68</v>
      </c>
      <c r="E8" s="10" t="s">
        <v>69</v>
      </c>
      <c r="F8" s="11" t="s">
        <v>70</v>
      </c>
      <c r="G8" s="11" t="s">
        <v>71</v>
      </c>
      <c r="H8" s="11" t="s">
        <v>72</v>
      </c>
      <c r="I8" s="11" t="s">
        <v>73</v>
      </c>
      <c r="J8" s="10" t="s">
        <v>22</v>
      </c>
      <c r="K8" s="14" t="s">
        <v>74</v>
      </c>
      <c r="L8" s="11" t="s">
        <v>64</v>
      </c>
      <c r="M8" s="13" t="s">
        <v>75</v>
      </c>
    </row>
    <row r="9" ht="34.5" customHeight="1" spans="1:13">
      <c r="A9" s="10" t="s">
        <v>76</v>
      </c>
      <c r="B9" s="10" t="s">
        <v>14</v>
      </c>
      <c r="C9" s="11" t="s">
        <v>77</v>
      </c>
      <c r="D9" s="10" t="s">
        <v>68</v>
      </c>
      <c r="E9" s="10" t="s">
        <v>69</v>
      </c>
      <c r="F9" s="11" t="s">
        <v>78</v>
      </c>
      <c r="G9" s="11" t="s">
        <v>79</v>
      </c>
      <c r="H9" s="11" t="s">
        <v>80</v>
      </c>
      <c r="I9" s="11" t="s">
        <v>81</v>
      </c>
      <c r="J9" s="10" t="s">
        <v>22</v>
      </c>
      <c r="K9" s="12" t="s">
        <v>23</v>
      </c>
      <c r="L9" s="11" t="s">
        <v>64</v>
      </c>
      <c r="M9" s="13" t="s">
        <v>75</v>
      </c>
    </row>
    <row r="10" ht="23.25" customHeight="1" spans="1:13">
      <c r="A10" s="10" t="s">
        <v>82</v>
      </c>
      <c r="B10" s="10" t="s">
        <v>14</v>
      </c>
      <c r="C10" s="11" t="s">
        <v>83</v>
      </c>
      <c r="D10" s="10" t="s">
        <v>68</v>
      </c>
      <c r="E10" s="10" t="s">
        <v>69</v>
      </c>
      <c r="F10" s="11" t="s">
        <v>84</v>
      </c>
      <c r="G10" s="11" t="s">
        <v>85</v>
      </c>
      <c r="H10" s="11" t="s">
        <v>86</v>
      </c>
      <c r="I10" s="11" t="s">
        <v>87</v>
      </c>
      <c r="J10" s="10" t="s">
        <v>22</v>
      </c>
      <c r="K10" s="11" t="s">
        <v>88</v>
      </c>
      <c r="L10" s="11" t="s">
        <v>64</v>
      </c>
      <c r="M10" s="13" t="s">
        <v>89</v>
      </c>
    </row>
    <row r="11" ht="23.25" customHeight="1" spans="1:13">
      <c r="A11" s="10" t="s">
        <v>90</v>
      </c>
      <c r="B11" s="10" t="s">
        <v>14</v>
      </c>
      <c r="C11" s="11" t="s">
        <v>91</v>
      </c>
      <c r="D11" s="10" t="s">
        <v>68</v>
      </c>
      <c r="E11" s="10" t="s">
        <v>69</v>
      </c>
      <c r="F11" s="11" t="s">
        <v>92</v>
      </c>
      <c r="G11" s="11" t="s">
        <v>93</v>
      </c>
      <c r="H11" s="11" t="s">
        <v>94</v>
      </c>
      <c r="I11" s="11" t="s">
        <v>95</v>
      </c>
      <c r="J11" s="10" t="s">
        <v>22</v>
      </c>
      <c r="K11" s="12" t="s">
        <v>96</v>
      </c>
      <c r="L11" s="11" t="s">
        <v>97</v>
      </c>
      <c r="M11" s="13" t="s">
        <v>98</v>
      </c>
    </row>
    <row r="12" ht="23.25" customHeight="1" spans="1:13">
      <c r="A12" s="10" t="s">
        <v>99</v>
      </c>
      <c r="B12" s="10" t="s">
        <v>14</v>
      </c>
      <c r="C12" s="11" t="s">
        <v>100</v>
      </c>
      <c r="D12" s="10" t="s">
        <v>68</v>
      </c>
      <c r="E12" s="10" t="s">
        <v>17</v>
      </c>
      <c r="F12" s="11" t="s">
        <v>101</v>
      </c>
      <c r="G12" s="11" t="s">
        <v>102</v>
      </c>
      <c r="H12" s="11" t="s">
        <v>103</v>
      </c>
      <c r="I12" s="11" t="s">
        <v>104</v>
      </c>
      <c r="J12" s="10" t="s">
        <v>22</v>
      </c>
      <c r="K12" s="11" t="s">
        <v>105</v>
      </c>
      <c r="L12" s="11"/>
      <c r="M12" s="13" t="s">
        <v>49</v>
      </c>
    </row>
    <row r="13" ht="23.25" customHeight="1" spans="1:13">
      <c r="A13" s="10" t="s">
        <v>106</v>
      </c>
      <c r="B13" s="10" t="s">
        <v>14</v>
      </c>
      <c r="C13" s="11" t="s">
        <v>107</v>
      </c>
      <c r="D13" s="10" t="s">
        <v>68</v>
      </c>
      <c r="E13" s="10" t="s">
        <v>17</v>
      </c>
      <c r="F13" s="11" t="s">
        <v>108</v>
      </c>
      <c r="G13" s="11" t="s">
        <v>109</v>
      </c>
      <c r="H13" s="11" t="s">
        <v>110</v>
      </c>
      <c r="I13" s="11" t="s">
        <v>111</v>
      </c>
      <c r="J13" s="10" t="s">
        <v>22</v>
      </c>
      <c r="K13" s="11" t="s">
        <v>112</v>
      </c>
      <c r="L13" s="11"/>
      <c r="M13" s="13" t="s">
        <v>49</v>
      </c>
    </row>
    <row r="14" ht="34.5" customHeight="1" spans="1:13">
      <c r="A14" s="10" t="s">
        <v>113</v>
      </c>
      <c r="B14" s="10" t="s">
        <v>14</v>
      </c>
      <c r="C14" s="11" t="s">
        <v>114</v>
      </c>
      <c r="D14" s="10" t="s">
        <v>28</v>
      </c>
      <c r="E14" s="10" t="s">
        <v>69</v>
      </c>
      <c r="F14" s="11" t="s">
        <v>115</v>
      </c>
      <c r="G14" s="11" t="s">
        <v>116</v>
      </c>
      <c r="H14" s="11" t="s">
        <v>117</v>
      </c>
      <c r="I14" s="11" t="s">
        <v>118</v>
      </c>
      <c r="J14" s="10" t="s">
        <v>119</v>
      </c>
      <c r="K14" s="11"/>
      <c r="L14" s="11"/>
      <c r="M14" s="13" t="s">
        <v>120</v>
      </c>
    </row>
    <row r="15" ht="23.25" customHeight="1" spans="1:13">
      <c r="A15" s="10" t="s">
        <v>121</v>
      </c>
      <c r="B15" s="10" t="s">
        <v>14</v>
      </c>
      <c r="C15" s="11" t="s">
        <v>122</v>
      </c>
      <c r="D15" s="10" t="s">
        <v>28</v>
      </c>
      <c r="E15" s="10" t="s">
        <v>17</v>
      </c>
      <c r="F15" s="11" t="s">
        <v>123</v>
      </c>
      <c r="G15" s="11" t="s">
        <v>124</v>
      </c>
      <c r="H15" s="11" t="s">
        <v>125</v>
      </c>
      <c r="I15" s="11" t="s">
        <v>126</v>
      </c>
      <c r="J15" s="10" t="s">
        <v>22</v>
      </c>
      <c r="K15" s="11" t="s">
        <v>127</v>
      </c>
      <c r="L15" s="11"/>
      <c r="M15" s="13" t="s">
        <v>65</v>
      </c>
    </row>
    <row r="16" ht="34.5" customHeight="1" spans="1:13">
      <c r="A16" s="10" t="s">
        <v>128</v>
      </c>
      <c r="B16" s="10" t="s">
        <v>14</v>
      </c>
      <c r="C16" s="11" t="s">
        <v>129</v>
      </c>
      <c r="D16" s="10" t="s">
        <v>68</v>
      </c>
      <c r="E16" s="10" t="s">
        <v>130</v>
      </c>
      <c r="F16" s="11" t="s">
        <v>131</v>
      </c>
      <c r="G16" s="11" t="s">
        <v>132</v>
      </c>
      <c r="H16" s="11" t="s">
        <v>133</v>
      </c>
      <c r="I16" s="11" t="s">
        <v>134</v>
      </c>
      <c r="J16" s="10" t="s">
        <v>119</v>
      </c>
      <c r="K16" s="11"/>
      <c r="L16" s="11"/>
      <c r="M16" s="13" t="s">
        <v>135</v>
      </c>
    </row>
    <row r="17" ht="23.25" customHeight="1" spans="1:13">
      <c r="A17" s="10" t="s">
        <v>136</v>
      </c>
      <c r="B17" s="10" t="s">
        <v>14</v>
      </c>
      <c r="C17" s="11" t="s">
        <v>137</v>
      </c>
      <c r="D17" s="10" t="s">
        <v>28</v>
      </c>
      <c r="E17" s="10" t="s">
        <v>17</v>
      </c>
      <c r="F17" s="11" t="s">
        <v>138</v>
      </c>
      <c r="G17" s="11" t="s">
        <v>139</v>
      </c>
      <c r="H17" s="11" t="s">
        <v>140</v>
      </c>
      <c r="I17" s="11" t="s">
        <v>141</v>
      </c>
      <c r="J17" s="10" t="s">
        <v>119</v>
      </c>
      <c r="K17" s="11" t="s">
        <v>142</v>
      </c>
      <c r="L17" s="11"/>
      <c r="M17" s="13" t="s">
        <v>120</v>
      </c>
    </row>
    <row r="18" customHeight="1" spans="1:13">
      <c r="A18" s="10" t="s">
        <v>143</v>
      </c>
      <c r="B18" s="10" t="s">
        <v>14</v>
      </c>
      <c r="C18" s="11" t="s">
        <v>144</v>
      </c>
      <c r="D18" s="10" t="s">
        <v>28</v>
      </c>
      <c r="E18" s="10" t="s">
        <v>17</v>
      </c>
      <c r="F18" s="11" t="s">
        <v>145</v>
      </c>
      <c r="G18" s="11" t="s">
        <v>146</v>
      </c>
      <c r="H18" s="11" t="s">
        <v>147</v>
      </c>
      <c r="I18" s="11" t="s">
        <v>148</v>
      </c>
      <c r="J18" s="10" t="s">
        <v>119</v>
      </c>
      <c r="K18" s="11" t="s">
        <v>149</v>
      </c>
      <c r="L18" s="11"/>
      <c r="M18" s="13" t="s">
        <v>150</v>
      </c>
    </row>
    <row r="19" ht="23.25" customHeight="1" spans="1:13">
      <c r="A19" s="10" t="s">
        <v>151</v>
      </c>
      <c r="B19" s="10" t="s">
        <v>14</v>
      </c>
      <c r="C19" s="11" t="s">
        <v>152</v>
      </c>
      <c r="D19" s="10" t="s">
        <v>28</v>
      </c>
      <c r="E19" s="10" t="s">
        <v>17</v>
      </c>
      <c r="F19" s="11" t="s">
        <v>153</v>
      </c>
      <c r="G19" s="11" t="s">
        <v>154</v>
      </c>
      <c r="H19" s="11" t="s">
        <v>155</v>
      </c>
      <c r="I19" s="11" t="s">
        <v>156</v>
      </c>
      <c r="J19" s="10" t="s">
        <v>119</v>
      </c>
      <c r="K19" s="11" t="s">
        <v>157</v>
      </c>
      <c r="L19" s="11"/>
      <c r="M19" s="13" t="s">
        <v>120</v>
      </c>
    </row>
    <row r="20" ht="34.5" customHeight="1" spans="1:13">
      <c r="A20" s="10" t="s">
        <v>158</v>
      </c>
      <c r="B20" s="10" t="s">
        <v>14</v>
      </c>
      <c r="C20" s="11" t="s">
        <v>159</v>
      </c>
      <c r="D20" s="10" t="s">
        <v>68</v>
      </c>
      <c r="E20" s="10" t="s">
        <v>69</v>
      </c>
      <c r="F20" s="11" t="s">
        <v>160</v>
      </c>
      <c r="G20" s="11" t="s">
        <v>161</v>
      </c>
      <c r="H20" s="11" t="s">
        <v>162</v>
      </c>
      <c r="I20" s="11"/>
      <c r="J20" s="10" t="s">
        <v>22</v>
      </c>
      <c r="K20" s="11"/>
      <c r="L20" s="11"/>
      <c r="M20" s="13" t="s">
        <v>49</v>
      </c>
    </row>
    <row r="21" ht="23.25" customHeight="1" spans="1:13">
      <c r="A21" s="10" t="s">
        <v>163</v>
      </c>
      <c r="B21" s="10" t="s">
        <v>14</v>
      </c>
      <c r="C21" s="11" t="s">
        <v>164</v>
      </c>
      <c r="D21" s="10" t="s">
        <v>28</v>
      </c>
      <c r="E21" s="10" t="s">
        <v>69</v>
      </c>
      <c r="F21" s="11" t="s">
        <v>165</v>
      </c>
      <c r="G21" s="11" t="s">
        <v>166</v>
      </c>
      <c r="H21" s="11" t="s">
        <v>167</v>
      </c>
      <c r="I21" s="11" t="s">
        <v>168</v>
      </c>
      <c r="J21" s="10" t="s">
        <v>22</v>
      </c>
      <c r="K21" s="11"/>
      <c r="L21" s="11"/>
      <c r="M21" s="13" t="s">
        <v>49</v>
      </c>
    </row>
    <row r="22" ht="23.25" customHeight="1" spans="1:13">
      <c r="A22" s="10" t="s">
        <v>169</v>
      </c>
      <c r="B22" s="10" t="s">
        <v>14</v>
      </c>
      <c r="C22" s="11" t="s">
        <v>170</v>
      </c>
      <c r="D22" s="10" t="s">
        <v>16</v>
      </c>
      <c r="E22" s="10" t="s">
        <v>130</v>
      </c>
      <c r="F22" s="11" t="s">
        <v>171</v>
      </c>
      <c r="G22" s="11" t="s">
        <v>172</v>
      </c>
      <c r="H22" s="11" t="s">
        <v>173</v>
      </c>
      <c r="I22" s="11" t="s">
        <v>174</v>
      </c>
      <c r="J22" s="10" t="s">
        <v>22</v>
      </c>
      <c r="K22" s="11"/>
      <c r="L22" s="11"/>
      <c r="M22" s="13" t="s">
        <v>49</v>
      </c>
    </row>
    <row r="23" ht="23.25" customHeight="1" spans="1:13">
      <c r="A23" s="10" t="s">
        <v>175</v>
      </c>
      <c r="B23" s="10" t="s">
        <v>14</v>
      </c>
      <c r="C23" s="11" t="s">
        <v>176</v>
      </c>
      <c r="D23" s="10" t="s">
        <v>28</v>
      </c>
      <c r="E23" s="10" t="s">
        <v>17</v>
      </c>
      <c r="F23" s="11" t="s">
        <v>177</v>
      </c>
      <c r="G23" s="11" t="s">
        <v>178</v>
      </c>
      <c r="H23" s="11" t="s">
        <v>179</v>
      </c>
      <c r="I23" s="11" t="s">
        <v>180</v>
      </c>
      <c r="J23" s="10" t="s">
        <v>119</v>
      </c>
      <c r="K23" s="11" t="s">
        <v>142</v>
      </c>
      <c r="L23" s="11" t="s">
        <v>181</v>
      </c>
      <c r="M23" s="11"/>
    </row>
    <row r="24" ht="23.25" customHeight="1" spans="1:13">
      <c r="A24" s="10" t="s">
        <v>182</v>
      </c>
      <c r="B24" s="10" t="s">
        <v>14</v>
      </c>
      <c r="C24" s="11" t="s">
        <v>183</v>
      </c>
      <c r="D24" s="10" t="s">
        <v>28</v>
      </c>
      <c r="E24" s="10" t="s">
        <v>17</v>
      </c>
      <c r="F24" s="11" t="s">
        <v>184</v>
      </c>
      <c r="G24" s="11" t="s">
        <v>185</v>
      </c>
      <c r="H24" s="11" t="s">
        <v>186</v>
      </c>
      <c r="I24" s="11" t="s">
        <v>187</v>
      </c>
      <c r="J24" s="10" t="s">
        <v>119</v>
      </c>
      <c r="K24" s="11"/>
      <c r="L24" s="11" t="s">
        <v>188</v>
      </c>
      <c r="M24" s="11"/>
    </row>
    <row r="25" ht="23.25" customHeight="1" spans="1:13">
      <c r="A25" s="10" t="s">
        <v>189</v>
      </c>
      <c r="B25" s="10" t="s">
        <v>14</v>
      </c>
      <c r="C25" s="11" t="s">
        <v>190</v>
      </c>
      <c r="D25" s="10" t="s">
        <v>16</v>
      </c>
      <c r="E25" s="10" t="s">
        <v>130</v>
      </c>
      <c r="F25" s="11" t="s">
        <v>191</v>
      </c>
      <c r="G25" s="11" t="s">
        <v>192</v>
      </c>
      <c r="H25" s="11" t="s">
        <v>193</v>
      </c>
      <c r="I25" s="11" t="s">
        <v>194</v>
      </c>
      <c r="J25" s="10" t="s">
        <v>119</v>
      </c>
      <c r="K25" s="15" t="s">
        <v>195</v>
      </c>
      <c r="L25" s="11"/>
      <c r="M25" s="11"/>
    </row>
    <row r="26" ht="23.25" customHeight="1" spans="1:13">
      <c r="A26" s="10" t="s">
        <v>196</v>
      </c>
      <c r="B26" s="10" t="s">
        <v>14</v>
      </c>
      <c r="C26" s="11" t="s">
        <v>197</v>
      </c>
      <c r="D26" s="10" t="s">
        <v>16</v>
      </c>
      <c r="E26" s="10" t="s">
        <v>130</v>
      </c>
      <c r="F26" s="11" t="s">
        <v>198</v>
      </c>
      <c r="G26" s="11" t="s">
        <v>199</v>
      </c>
      <c r="H26" s="11" t="s">
        <v>200</v>
      </c>
      <c r="I26" s="11" t="s">
        <v>201</v>
      </c>
      <c r="J26" s="10" t="s">
        <v>119</v>
      </c>
      <c r="K26" s="12" t="s">
        <v>23</v>
      </c>
      <c r="L26" s="11" t="s">
        <v>202</v>
      </c>
      <c r="M26" s="11"/>
    </row>
    <row r="27" ht="23.25" customHeight="1" spans="1:13">
      <c r="A27" s="10" t="s">
        <v>203</v>
      </c>
      <c r="B27" s="10" t="s">
        <v>14</v>
      </c>
      <c r="C27" s="11" t="s">
        <v>204</v>
      </c>
      <c r="D27" s="10" t="s">
        <v>16</v>
      </c>
      <c r="E27" s="10" t="s">
        <v>17</v>
      </c>
      <c r="F27" s="11" t="s">
        <v>205</v>
      </c>
      <c r="G27" s="11" t="s">
        <v>206</v>
      </c>
      <c r="H27" s="11" t="s">
        <v>207</v>
      </c>
      <c r="I27" s="11" t="s">
        <v>208</v>
      </c>
      <c r="J27" s="10" t="s">
        <v>119</v>
      </c>
      <c r="K27" s="11" t="s">
        <v>157</v>
      </c>
      <c r="L27" s="11" t="s">
        <v>209</v>
      </c>
      <c r="M27" s="13" t="s">
        <v>210</v>
      </c>
    </row>
    <row r="28" ht="45.75" customHeight="1" spans="1:13">
      <c r="A28" s="10" t="s">
        <v>211</v>
      </c>
      <c r="B28" s="10" t="s">
        <v>14</v>
      </c>
      <c r="C28" s="11" t="s">
        <v>212</v>
      </c>
      <c r="D28" s="10" t="s">
        <v>28</v>
      </c>
      <c r="E28" s="10" t="s">
        <v>69</v>
      </c>
      <c r="F28" s="11" t="s">
        <v>213</v>
      </c>
      <c r="G28" s="11" t="s">
        <v>214</v>
      </c>
      <c r="H28" s="11" t="s">
        <v>215</v>
      </c>
      <c r="I28" s="11" t="s">
        <v>216</v>
      </c>
      <c r="J28" s="10" t="s">
        <v>217</v>
      </c>
      <c r="K28" s="11" t="s">
        <v>218</v>
      </c>
      <c r="L28" s="11" t="s">
        <v>219</v>
      </c>
      <c r="M28" s="13" t="s">
        <v>220</v>
      </c>
    </row>
    <row r="29" customHeight="1" spans="1:13">
      <c r="A29" s="10" t="s">
        <v>221</v>
      </c>
      <c r="B29" s="10" t="s">
        <v>14</v>
      </c>
      <c r="C29" s="11" t="s">
        <v>222</v>
      </c>
      <c r="D29" s="10" t="s">
        <v>16</v>
      </c>
      <c r="E29" s="10" t="s">
        <v>17</v>
      </c>
      <c r="F29" s="11" t="s">
        <v>223</v>
      </c>
      <c r="G29" s="11" t="s">
        <v>224</v>
      </c>
      <c r="H29" s="11" t="s">
        <v>225</v>
      </c>
      <c r="I29" s="11" t="s">
        <v>226</v>
      </c>
      <c r="J29" s="10" t="s">
        <v>22</v>
      </c>
      <c r="K29" s="11"/>
      <c r="L29" s="11"/>
      <c r="M29" s="11"/>
    </row>
    <row r="30" ht="34.5" customHeight="1" spans="1:13">
      <c r="A30" s="10" t="s">
        <v>227</v>
      </c>
      <c r="B30" s="10" t="s">
        <v>14</v>
      </c>
      <c r="C30" s="11" t="s">
        <v>228</v>
      </c>
      <c r="D30" s="10" t="s">
        <v>229</v>
      </c>
      <c r="E30" s="10" t="s">
        <v>69</v>
      </c>
      <c r="F30" s="11" t="s">
        <v>230</v>
      </c>
      <c r="G30" s="11" t="s">
        <v>231</v>
      </c>
      <c r="H30" s="11" t="s">
        <v>232</v>
      </c>
      <c r="I30" s="11" t="s">
        <v>233</v>
      </c>
      <c r="J30" s="10" t="s">
        <v>119</v>
      </c>
      <c r="K30" s="11"/>
      <c r="L30" s="11"/>
      <c r="M30" s="13" t="s">
        <v>234</v>
      </c>
    </row>
    <row r="31" ht="34.5" customHeight="1" spans="1:13">
      <c r="A31" s="10" t="s">
        <v>235</v>
      </c>
      <c r="B31" s="10" t="s">
        <v>14</v>
      </c>
      <c r="C31" s="11" t="s">
        <v>236</v>
      </c>
      <c r="D31" s="10" t="s">
        <v>229</v>
      </c>
      <c r="E31" s="10" t="s">
        <v>69</v>
      </c>
      <c r="F31" s="11" t="s">
        <v>237</v>
      </c>
      <c r="G31" s="11" t="s">
        <v>238</v>
      </c>
      <c r="H31" s="11" t="s">
        <v>239</v>
      </c>
      <c r="I31" s="11" t="s">
        <v>233</v>
      </c>
      <c r="J31" s="10" t="s">
        <v>119</v>
      </c>
      <c r="K31" s="11"/>
      <c r="L31" s="11"/>
      <c r="M31" s="13" t="s">
        <v>240</v>
      </c>
    </row>
    <row r="32" ht="57" customHeight="1" spans="1:13">
      <c r="A32" s="10" t="s">
        <v>241</v>
      </c>
      <c r="B32" s="10" t="s">
        <v>14</v>
      </c>
      <c r="C32" s="11" t="s">
        <v>242</v>
      </c>
      <c r="D32" s="10" t="s">
        <v>16</v>
      </c>
      <c r="E32" s="10" t="s">
        <v>69</v>
      </c>
      <c r="F32" s="11" t="s">
        <v>243</v>
      </c>
      <c r="G32" s="11" t="s">
        <v>244</v>
      </c>
      <c r="H32" s="11" t="s">
        <v>245</v>
      </c>
      <c r="I32" s="11"/>
      <c r="J32" s="10" t="s">
        <v>22</v>
      </c>
      <c r="K32" s="11"/>
      <c r="L32" s="11" t="s">
        <v>246</v>
      </c>
      <c r="M32" s="13" t="s">
        <v>247</v>
      </c>
    </row>
    <row r="33" ht="45.75" customHeight="1" spans="1:13">
      <c r="A33" s="10" t="s">
        <v>248</v>
      </c>
      <c r="B33" s="10" t="s">
        <v>14</v>
      </c>
      <c r="C33" s="11" t="s">
        <v>249</v>
      </c>
      <c r="D33" s="10" t="s">
        <v>16</v>
      </c>
      <c r="E33" s="10" t="s">
        <v>17</v>
      </c>
      <c r="F33" s="11" t="s">
        <v>250</v>
      </c>
      <c r="G33" s="11" t="s">
        <v>251</v>
      </c>
      <c r="H33" s="11" t="s">
        <v>252</v>
      </c>
      <c r="I33" s="11"/>
      <c r="J33" s="10" t="s">
        <v>217</v>
      </c>
      <c r="K33" s="11"/>
      <c r="L33" s="11" t="s">
        <v>253</v>
      </c>
      <c r="M33" s="13" t="s">
        <v>247</v>
      </c>
    </row>
    <row r="34" ht="45.75" customHeight="1" spans="1:13">
      <c r="A34" s="10" t="s">
        <v>254</v>
      </c>
      <c r="B34" s="10"/>
      <c r="C34" s="11"/>
      <c r="D34" s="10"/>
      <c r="E34" s="10"/>
      <c r="F34" s="11"/>
      <c r="G34" s="11"/>
      <c r="H34" s="11"/>
      <c r="I34" s="11"/>
      <c r="J34" s="10"/>
      <c r="K34" s="11"/>
      <c r="L34" s="11"/>
      <c r="M34" s="13"/>
    </row>
    <row r="35" ht="34.5" customHeight="1" spans="1:13">
      <c r="A35" s="10" t="s">
        <v>255</v>
      </c>
      <c r="B35" s="10" t="s">
        <v>256</v>
      </c>
      <c r="C35" s="11" t="s">
        <v>257</v>
      </c>
      <c r="D35" s="10" t="s">
        <v>16</v>
      </c>
      <c r="E35" s="10" t="s">
        <v>17</v>
      </c>
      <c r="F35" s="11" t="s">
        <v>258</v>
      </c>
      <c r="G35" s="11" t="s">
        <v>259</v>
      </c>
      <c r="H35" s="11" t="s">
        <v>260</v>
      </c>
      <c r="I35" s="11" t="s">
        <v>261</v>
      </c>
      <c r="J35" s="10" t="s">
        <v>22</v>
      </c>
      <c r="K35" s="11" t="s">
        <v>262</v>
      </c>
      <c r="L35" s="11"/>
      <c r="M35" s="13" t="s">
        <v>49</v>
      </c>
    </row>
    <row r="36" ht="23.25" customHeight="1" spans="1:13">
      <c r="A36" s="10" t="s">
        <v>263</v>
      </c>
      <c r="B36" s="10" t="s">
        <v>256</v>
      </c>
      <c r="C36" s="11" t="s">
        <v>264</v>
      </c>
      <c r="D36" s="10" t="s">
        <v>28</v>
      </c>
      <c r="E36" s="10" t="s">
        <v>17</v>
      </c>
      <c r="F36" s="11" t="s">
        <v>265</v>
      </c>
      <c r="G36" s="11" t="s">
        <v>60</v>
      </c>
      <c r="H36" s="11" t="s">
        <v>266</v>
      </c>
      <c r="I36" s="11" t="s">
        <v>267</v>
      </c>
      <c r="J36" s="10" t="s">
        <v>22</v>
      </c>
      <c r="K36" s="11" t="s">
        <v>268</v>
      </c>
      <c r="L36" s="11"/>
      <c r="M36" s="13" t="s">
        <v>49</v>
      </c>
    </row>
    <row r="37" ht="23.25" customHeight="1" spans="1:13">
      <c r="A37" s="10" t="s">
        <v>269</v>
      </c>
      <c r="B37" s="10" t="s">
        <v>256</v>
      </c>
      <c r="C37" s="11" t="s">
        <v>270</v>
      </c>
      <c r="D37" s="10" t="s">
        <v>68</v>
      </c>
      <c r="E37" s="10" t="s">
        <v>69</v>
      </c>
      <c r="F37" s="11" t="s">
        <v>271</v>
      </c>
      <c r="G37" s="11" t="s">
        <v>272</v>
      </c>
      <c r="H37" s="11" t="s">
        <v>273</v>
      </c>
      <c r="I37" s="11" t="s">
        <v>274</v>
      </c>
      <c r="J37" s="10" t="s">
        <v>22</v>
      </c>
      <c r="K37" s="11"/>
      <c r="L37" s="11" t="s">
        <v>275</v>
      </c>
      <c r="M37" s="13" t="s">
        <v>49</v>
      </c>
    </row>
    <row r="38" ht="23.25" customHeight="1" spans="1:13">
      <c r="A38" s="10" t="s">
        <v>276</v>
      </c>
      <c r="B38" s="10" t="s">
        <v>256</v>
      </c>
      <c r="C38" s="11" t="s">
        <v>277</v>
      </c>
      <c r="D38" s="10" t="s">
        <v>28</v>
      </c>
      <c r="E38" s="10" t="s">
        <v>69</v>
      </c>
      <c r="F38" s="11" t="s">
        <v>278</v>
      </c>
      <c r="G38" s="11" t="s">
        <v>166</v>
      </c>
      <c r="H38" s="11" t="s">
        <v>279</v>
      </c>
      <c r="I38" s="11" t="s">
        <v>280</v>
      </c>
      <c r="J38" s="10" t="s">
        <v>22</v>
      </c>
      <c r="K38" s="11" t="s">
        <v>262</v>
      </c>
      <c r="L38" s="11"/>
      <c r="M38" s="13" t="s">
        <v>281</v>
      </c>
    </row>
    <row r="39" ht="23.25" customHeight="1" spans="1:13">
      <c r="A39" s="10" t="s">
        <v>282</v>
      </c>
      <c r="B39" s="10" t="s">
        <v>256</v>
      </c>
      <c r="C39" s="11" t="s">
        <v>283</v>
      </c>
      <c r="D39" s="10" t="s">
        <v>28</v>
      </c>
      <c r="E39" s="10" t="s">
        <v>69</v>
      </c>
      <c r="F39" s="11" t="s">
        <v>284</v>
      </c>
      <c r="G39" s="11" t="s">
        <v>285</v>
      </c>
      <c r="H39" s="11" t="s">
        <v>286</v>
      </c>
      <c r="I39" s="11" t="s">
        <v>287</v>
      </c>
      <c r="J39" s="10" t="s">
        <v>119</v>
      </c>
      <c r="K39" s="11"/>
      <c r="L39" s="11"/>
      <c r="M39" s="11"/>
    </row>
    <row r="40" customHeight="1" spans="1:13">
      <c r="A40" s="10" t="s">
        <v>288</v>
      </c>
      <c r="B40" s="10" t="s">
        <v>256</v>
      </c>
      <c r="C40" s="11" t="s">
        <v>289</v>
      </c>
      <c r="D40" s="10" t="s">
        <v>28</v>
      </c>
      <c r="E40" s="10" t="s">
        <v>17</v>
      </c>
      <c r="F40" s="11" t="s">
        <v>290</v>
      </c>
      <c r="G40" s="11" t="s">
        <v>291</v>
      </c>
      <c r="H40" s="11" t="s">
        <v>292</v>
      </c>
      <c r="I40" s="11" t="s">
        <v>293</v>
      </c>
      <c r="J40" s="10" t="s">
        <v>22</v>
      </c>
      <c r="K40" s="11"/>
      <c r="L40" s="11" t="s">
        <v>294</v>
      </c>
      <c r="M40" s="11"/>
    </row>
    <row r="41" ht="23.25" customHeight="1" spans="1:13">
      <c r="A41" s="10" t="s">
        <v>295</v>
      </c>
      <c r="B41" s="10" t="s">
        <v>256</v>
      </c>
      <c r="C41" s="11" t="s">
        <v>296</v>
      </c>
      <c r="D41" s="10" t="s">
        <v>16</v>
      </c>
      <c r="E41" s="10" t="s">
        <v>17</v>
      </c>
      <c r="F41" s="11" t="s">
        <v>297</v>
      </c>
      <c r="G41" s="11" t="s">
        <v>298</v>
      </c>
      <c r="H41" s="11" t="s">
        <v>299</v>
      </c>
      <c r="I41" s="11" t="s">
        <v>300</v>
      </c>
      <c r="J41" s="10" t="s">
        <v>22</v>
      </c>
      <c r="K41" s="11"/>
      <c r="L41" s="11"/>
      <c r="M41" s="11"/>
    </row>
    <row r="42" customHeight="1" spans="1:13">
      <c r="A42" s="10" t="s">
        <v>301</v>
      </c>
      <c r="B42" s="10" t="s">
        <v>256</v>
      </c>
      <c r="C42" s="11" t="s">
        <v>302</v>
      </c>
      <c r="D42" s="10" t="s">
        <v>16</v>
      </c>
      <c r="E42" s="10" t="s">
        <v>69</v>
      </c>
      <c r="F42" s="11" t="s">
        <v>303</v>
      </c>
      <c r="G42" s="11" t="s">
        <v>304</v>
      </c>
      <c r="H42" s="11" t="s">
        <v>305</v>
      </c>
      <c r="I42" s="11" t="s">
        <v>306</v>
      </c>
      <c r="J42" s="10" t="s">
        <v>22</v>
      </c>
      <c r="K42" s="11"/>
      <c r="L42" s="11"/>
      <c r="M42" s="11"/>
    </row>
    <row r="43" ht="34.5" customHeight="1" spans="1:13">
      <c r="A43" s="10" t="s">
        <v>307</v>
      </c>
      <c r="B43" s="10" t="s">
        <v>308</v>
      </c>
      <c r="C43" s="11" t="s">
        <v>309</v>
      </c>
      <c r="D43" s="10" t="s">
        <v>16</v>
      </c>
      <c r="E43" s="10" t="s">
        <v>17</v>
      </c>
      <c r="F43" s="11" t="s">
        <v>310</v>
      </c>
      <c r="G43" s="11" t="s">
        <v>311</v>
      </c>
      <c r="H43" s="11" t="s">
        <v>312</v>
      </c>
      <c r="I43" s="11" t="s">
        <v>313</v>
      </c>
      <c r="J43" s="10" t="s">
        <v>22</v>
      </c>
      <c r="K43" s="11"/>
      <c r="L43" s="11" t="s">
        <v>314</v>
      </c>
      <c r="M43" s="13" t="s">
        <v>49</v>
      </c>
    </row>
    <row r="44" ht="23.25" customHeight="1" spans="1:13">
      <c r="A44" s="10" t="s">
        <v>315</v>
      </c>
      <c r="B44" s="10" t="s">
        <v>308</v>
      </c>
      <c r="C44" s="11" t="s">
        <v>316</v>
      </c>
      <c r="D44" s="10" t="s">
        <v>28</v>
      </c>
      <c r="E44" s="10" t="s">
        <v>17</v>
      </c>
      <c r="F44" s="11" t="s">
        <v>317</v>
      </c>
      <c r="G44" s="11" t="s">
        <v>318</v>
      </c>
      <c r="H44" s="11" t="s">
        <v>319</v>
      </c>
      <c r="I44" s="11" t="s">
        <v>320</v>
      </c>
      <c r="J44" s="10" t="s">
        <v>22</v>
      </c>
      <c r="K44" s="11"/>
      <c r="L44" s="11"/>
      <c r="M44" s="13" t="s">
        <v>49</v>
      </c>
    </row>
    <row r="45" ht="23.25" customHeight="1" spans="1:13">
      <c r="A45" s="10" t="s">
        <v>321</v>
      </c>
      <c r="B45" s="10" t="s">
        <v>308</v>
      </c>
      <c r="C45" s="11" t="s">
        <v>322</v>
      </c>
      <c r="D45" s="10" t="s">
        <v>16</v>
      </c>
      <c r="E45" s="10" t="s">
        <v>17</v>
      </c>
      <c r="F45" s="11" t="s">
        <v>323</v>
      </c>
      <c r="G45" s="11" t="s">
        <v>324</v>
      </c>
      <c r="H45" s="11" t="s">
        <v>325</v>
      </c>
      <c r="I45" s="11" t="s">
        <v>326</v>
      </c>
      <c r="J45" s="10" t="s">
        <v>22</v>
      </c>
      <c r="K45" s="11"/>
      <c r="L45" s="11"/>
      <c r="M45" s="13" t="s">
        <v>49</v>
      </c>
    </row>
    <row r="46" customHeight="1" spans="1:13">
      <c r="A46" s="10" t="s">
        <v>327</v>
      </c>
      <c r="B46" s="10" t="s">
        <v>308</v>
      </c>
      <c r="C46" s="11" t="s">
        <v>328</v>
      </c>
      <c r="D46" s="10" t="s">
        <v>16</v>
      </c>
      <c r="E46" s="10" t="s">
        <v>69</v>
      </c>
      <c r="F46" s="11" t="s">
        <v>329</v>
      </c>
      <c r="G46" s="11" t="s">
        <v>330</v>
      </c>
      <c r="H46" s="11" t="s">
        <v>331</v>
      </c>
      <c r="I46" s="11" t="s">
        <v>332</v>
      </c>
      <c r="J46" s="10" t="s">
        <v>22</v>
      </c>
      <c r="K46" s="11"/>
      <c r="L46" s="11"/>
      <c r="M46" s="13" t="s">
        <v>49</v>
      </c>
    </row>
    <row r="47" ht="45.75" customHeight="1" spans="1:13">
      <c r="A47" s="10" t="s">
        <v>333</v>
      </c>
      <c r="B47" s="10" t="s">
        <v>308</v>
      </c>
      <c r="C47" s="11" t="s">
        <v>334</v>
      </c>
      <c r="D47" s="10" t="s">
        <v>16</v>
      </c>
      <c r="E47" s="10" t="s">
        <v>69</v>
      </c>
      <c r="F47" s="11" t="s">
        <v>335</v>
      </c>
      <c r="G47" s="11" t="s">
        <v>336</v>
      </c>
      <c r="H47" s="11" t="s">
        <v>337</v>
      </c>
      <c r="I47" s="11" t="s">
        <v>338</v>
      </c>
      <c r="J47" s="10" t="s">
        <v>22</v>
      </c>
      <c r="K47" s="11"/>
      <c r="L47" s="11"/>
      <c r="M47" s="13" t="s">
        <v>49</v>
      </c>
    </row>
    <row r="48" ht="23.25" customHeight="1" spans="1:13">
      <c r="A48" s="10" t="s">
        <v>339</v>
      </c>
      <c r="B48" s="10" t="s">
        <v>308</v>
      </c>
      <c r="C48" s="11" t="s">
        <v>340</v>
      </c>
      <c r="D48" s="10" t="s">
        <v>28</v>
      </c>
      <c r="E48" s="10" t="s">
        <v>17</v>
      </c>
      <c r="F48" s="11" t="s">
        <v>341</v>
      </c>
      <c r="G48" s="11" t="s">
        <v>342</v>
      </c>
      <c r="H48" s="11" t="s">
        <v>343</v>
      </c>
      <c r="I48" s="11" t="s">
        <v>344</v>
      </c>
      <c r="J48" s="10" t="s">
        <v>22</v>
      </c>
      <c r="K48" s="11"/>
      <c r="L48" s="11" t="s">
        <v>345</v>
      </c>
      <c r="M48" s="13" t="s">
        <v>247</v>
      </c>
    </row>
    <row r="49" ht="23.25" customHeight="1" spans="1:13">
      <c r="A49" s="10" t="s">
        <v>346</v>
      </c>
      <c r="B49" s="10" t="s">
        <v>308</v>
      </c>
      <c r="C49" s="11" t="s">
        <v>347</v>
      </c>
      <c r="D49" s="10" t="s">
        <v>28</v>
      </c>
      <c r="E49" s="10" t="s">
        <v>69</v>
      </c>
      <c r="F49" s="11" t="s">
        <v>348</v>
      </c>
      <c r="G49" s="11" t="s">
        <v>349</v>
      </c>
      <c r="H49" s="11" t="s">
        <v>350</v>
      </c>
      <c r="I49" s="11" t="s">
        <v>351</v>
      </c>
      <c r="J49" s="10" t="s">
        <v>119</v>
      </c>
      <c r="K49" s="11"/>
      <c r="L49" s="11"/>
      <c r="M49" s="11"/>
    </row>
    <row r="50" ht="23.25" customHeight="1" spans="1:13">
      <c r="A50" s="10" t="s">
        <v>352</v>
      </c>
      <c r="B50" s="10" t="s">
        <v>308</v>
      </c>
      <c r="C50" s="11" t="s">
        <v>353</v>
      </c>
      <c r="D50" s="10" t="s">
        <v>28</v>
      </c>
      <c r="E50" s="10" t="s">
        <v>17</v>
      </c>
      <c r="F50" s="11" t="s">
        <v>354</v>
      </c>
      <c r="G50" s="11" t="s">
        <v>355</v>
      </c>
      <c r="H50" s="11" t="s">
        <v>286</v>
      </c>
      <c r="I50" s="11" t="s">
        <v>356</v>
      </c>
      <c r="J50" s="10" t="s">
        <v>119</v>
      </c>
      <c r="K50" s="11"/>
      <c r="L50" s="11" t="s">
        <v>357</v>
      </c>
      <c r="M50" s="11"/>
    </row>
    <row r="51" customHeight="1" spans="1:13">
      <c r="A51" s="10" t="s">
        <v>358</v>
      </c>
      <c r="B51" s="10" t="s">
        <v>308</v>
      </c>
      <c r="C51" s="11" t="s">
        <v>359</v>
      </c>
      <c r="D51" s="10" t="s">
        <v>28</v>
      </c>
      <c r="E51" s="10" t="s">
        <v>130</v>
      </c>
      <c r="F51" s="11" t="s">
        <v>360</v>
      </c>
      <c r="G51" s="11" t="s">
        <v>361</v>
      </c>
      <c r="H51" s="11" t="s">
        <v>362</v>
      </c>
      <c r="I51" s="11" t="s">
        <v>363</v>
      </c>
      <c r="J51" s="10" t="s">
        <v>119</v>
      </c>
      <c r="K51" s="11"/>
      <c r="L51" s="11" t="s">
        <v>364</v>
      </c>
      <c r="M51" s="11"/>
    </row>
    <row r="52" ht="23.25" customHeight="1" spans="1:13">
      <c r="A52" s="10" t="s">
        <v>365</v>
      </c>
      <c r="B52" s="10" t="s">
        <v>308</v>
      </c>
      <c r="C52" s="11" t="s">
        <v>366</v>
      </c>
      <c r="D52" s="10" t="s">
        <v>16</v>
      </c>
      <c r="E52" s="10" t="s">
        <v>17</v>
      </c>
      <c r="F52" s="11" t="s">
        <v>367</v>
      </c>
      <c r="G52" s="11" t="s">
        <v>368</v>
      </c>
      <c r="H52" s="11" t="s">
        <v>369</v>
      </c>
      <c r="I52" s="11" t="s">
        <v>370</v>
      </c>
      <c r="J52" s="10" t="s">
        <v>22</v>
      </c>
      <c r="K52" s="11"/>
      <c r="L52" s="11" t="s">
        <v>371</v>
      </c>
      <c r="M52" s="11"/>
    </row>
    <row r="53" ht="23.25" customHeight="1" spans="1:13">
      <c r="A53" s="10" t="s">
        <v>372</v>
      </c>
      <c r="B53" s="10" t="s">
        <v>308</v>
      </c>
      <c r="C53" s="11" t="s">
        <v>373</v>
      </c>
      <c r="D53" s="10" t="s">
        <v>16</v>
      </c>
      <c r="E53" s="10" t="s">
        <v>69</v>
      </c>
      <c r="F53" s="11" t="s">
        <v>374</v>
      </c>
      <c r="G53" s="11" t="s">
        <v>375</v>
      </c>
      <c r="H53" s="11" t="s">
        <v>376</v>
      </c>
      <c r="I53" s="11" t="s">
        <v>377</v>
      </c>
      <c r="J53" s="10" t="s">
        <v>119</v>
      </c>
      <c r="K53" s="11" t="s">
        <v>378</v>
      </c>
      <c r="L53" s="11" t="s">
        <v>379</v>
      </c>
      <c r="M53" s="13" t="s">
        <v>380</v>
      </c>
    </row>
    <row r="54" ht="34.5" customHeight="1" spans="1:13">
      <c r="A54" s="10" t="s">
        <v>381</v>
      </c>
      <c r="B54" s="10" t="s">
        <v>308</v>
      </c>
      <c r="C54" s="11" t="s">
        <v>382</v>
      </c>
      <c r="D54" s="10" t="s">
        <v>16</v>
      </c>
      <c r="E54" s="10" t="s">
        <v>69</v>
      </c>
      <c r="F54" s="11" t="s">
        <v>383</v>
      </c>
      <c r="G54" s="11" t="s">
        <v>384</v>
      </c>
      <c r="H54" s="11" t="s">
        <v>385</v>
      </c>
      <c r="I54" s="11" t="s">
        <v>386</v>
      </c>
      <c r="J54" s="10" t="s">
        <v>22</v>
      </c>
      <c r="K54" s="11"/>
      <c r="L54" s="11" t="s">
        <v>387</v>
      </c>
      <c r="M54" s="11"/>
    </row>
    <row r="55" ht="23.25" customHeight="1" spans="1:13">
      <c r="A55" s="10" t="s">
        <v>388</v>
      </c>
      <c r="B55" s="10" t="s">
        <v>308</v>
      </c>
      <c r="C55" s="11" t="s">
        <v>389</v>
      </c>
      <c r="D55" s="10" t="s">
        <v>28</v>
      </c>
      <c r="E55" s="10" t="s">
        <v>17</v>
      </c>
      <c r="F55" s="11" t="s">
        <v>390</v>
      </c>
      <c r="G55" s="11" t="s">
        <v>391</v>
      </c>
      <c r="H55" s="11" t="s">
        <v>392</v>
      </c>
      <c r="I55" s="11"/>
      <c r="J55" s="10" t="s">
        <v>22</v>
      </c>
      <c r="K55" s="11"/>
      <c r="L55" s="11" t="s">
        <v>393</v>
      </c>
      <c r="M55" s="13" t="s">
        <v>247</v>
      </c>
    </row>
    <row r="56" ht="34.5" customHeight="1" spans="1:13">
      <c r="A56" s="10" t="s">
        <v>394</v>
      </c>
      <c r="B56" s="10" t="s">
        <v>308</v>
      </c>
      <c r="C56" s="11" t="s">
        <v>395</v>
      </c>
      <c r="D56" s="10" t="s">
        <v>16</v>
      </c>
      <c r="E56" s="10" t="s">
        <v>69</v>
      </c>
      <c r="F56" s="11" t="s">
        <v>396</v>
      </c>
      <c r="G56" s="11" t="s">
        <v>397</v>
      </c>
      <c r="H56" s="11" t="s">
        <v>398</v>
      </c>
      <c r="I56" s="10"/>
      <c r="J56" s="10" t="s">
        <v>22</v>
      </c>
      <c r="K56" s="11"/>
      <c r="L56" s="11" t="s">
        <v>399</v>
      </c>
      <c r="M56" s="13" t="s">
        <v>247</v>
      </c>
    </row>
    <row r="57" customHeight="1" spans="1:13">
      <c r="A57" s="10" t="s">
        <v>400</v>
      </c>
      <c r="B57" s="10" t="s">
        <v>401</v>
      </c>
      <c r="C57" s="11" t="s">
        <v>402</v>
      </c>
      <c r="D57" s="10" t="s">
        <v>16</v>
      </c>
      <c r="E57" s="10" t="s">
        <v>130</v>
      </c>
      <c r="F57" s="11" t="s">
        <v>403</v>
      </c>
      <c r="G57" s="11" t="s">
        <v>218</v>
      </c>
      <c r="H57" s="11" t="s">
        <v>404</v>
      </c>
      <c r="I57" s="11"/>
      <c r="J57" s="10" t="s">
        <v>119</v>
      </c>
      <c r="K57" s="11"/>
      <c r="L57" s="11"/>
      <c r="M57" s="11"/>
    </row>
    <row r="58" customHeight="1" spans="1:13">
      <c r="A58" s="10" t="s">
        <v>405</v>
      </c>
      <c r="B58" s="10" t="s">
        <v>401</v>
      </c>
      <c r="C58" s="11" t="s">
        <v>406</v>
      </c>
      <c r="D58" s="10" t="s">
        <v>16</v>
      </c>
      <c r="E58" s="10" t="s">
        <v>130</v>
      </c>
      <c r="F58" s="11" t="s">
        <v>407</v>
      </c>
      <c r="G58" s="11" t="s">
        <v>408</v>
      </c>
      <c r="H58" s="11" t="s">
        <v>409</v>
      </c>
      <c r="I58" s="11" t="s">
        <v>410</v>
      </c>
      <c r="J58" s="10" t="s">
        <v>119</v>
      </c>
      <c r="K58" s="11"/>
      <c r="L58" s="11" t="s">
        <v>411</v>
      </c>
      <c r="M58" s="11"/>
    </row>
    <row r="59" ht="23.25" customHeight="1" spans="1:13">
      <c r="A59" s="10" t="s">
        <v>412</v>
      </c>
      <c r="B59" s="10" t="s">
        <v>401</v>
      </c>
      <c r="C59" s="11" t="s">
        <v>413</v>
      </c>
      <c r="D59" s="10" t="s">
        <v>16</v>
      </c>
      <c r="E59" s="10" t="s">
        <v>130</v>
      </c>
      <c r="F59" s="11" t="s">
        <v>414</v>
      </c>
      <c r="G59" s="11" t="s">
        <v>218</v>
      </c>
      <c r="H59" s="11" t="s">
        <v>415</v>
      </c>
      <c r="I59" s="11" t="s">
        <v>416</v>
      </c>
      <c r="J59" s="10" t="s">
        <v>22</v>
      </c>
      <c r="K59" s="11"/>
      <c r="L59" s="11" t="s">
        <v>417</v>
      </c>
      <c r="M59" s="13" t="s">
        <v>418</v>
      </c>
    </row>
    <row r="60" ht="50" customHeight="1" spans="1:13">
      <c r="A60" s="10" t="s">
        <v>419</v>
      </c>
      <c r="B60" s="10" t="s">
        <v>420</v>
      </c>
      <c r="C60" s="11" t="s">
        <v>421</v>
      </c>
      <c r="D60" s="10" t="s">
        <v>420</v>
      </c>
      <c r="E60" s="10" t="s">
        <v>17</v>
      </c>
      <c r="F60" s="11" t="s">
        <v>422</v>
      </c>
      <c r="G60" s="11" t="s">
        <v>423</v>
      </c>
      <c r="H60" s="11" t="s">
        <v>424</v>
      </c>
      <c r="I60" s="11" t="s">
        <v>425</v>
      </c>
      <c r="J60" s="10" t="s">
        <v>22</v>
      </c>
      <c r="K60" s="11"/>
      <c r="L60" s="11"/>
      <c r="M60" s="13" t="s">
        <v>49</v>
      </c>
    </row>
    <row r="61" ht="23.25" customHeight="1" spans="1:13">
      <c r="A61" s="10" t="s">
        <v>426</v>
      </c>
      <c r="B61" s="10" t="s">
        <v>420</v>
      </c>
      <c r="C61" s="11" t="s">
        <v>427</v>
      </c>
      <c r="D61" s="10" t="s">
        <v>420</v>
      </c>
      <c r="E61" s="10" t="s">
        <v>130</v>
      </c>
      <c r="F61" s="11" t="s">
        <v>428</v>
      </c>
      <c r="G61" s="11" t="s">
        <v>429</v>
      </c>
      <c r="H61" s="11" t="s">
        <v>430</v>
      </c>
      <c r="I61" s="11" t="s">
        <v>431</v>
      </c>
      <c r="J61" s="10" t="s">
        <v>22</v>
      </c>
      <c r="K61" s="11"/>
      <c r="L61" s="11"/>
      <c r="M61" s="13" t="s">
        <v>49</v>
      </c>
    </row>
    <row r="62" ht="34.5" customHeight="1" spans="1:13">
      <c r="A62" s="10" t="s">
        <v>432</v>
      </c>
      <c r="B62" s="10" t="s">
        <v>420</v>
      </c>
      <c r="C62" s="11" t="s">
        <v>433</v>
      </c>
      <c r="D62" s="10" t="s">
        <v>420</v>
      </c>
      <c r="E62" s="10" t="s">
        <v>130</v>
      </c>
      <c r="F62" s="11" t="s">
        <v>434</v>
      </c>
      <c r="G62" s="11" t="s">
        <v>435</v>
      </c>
      <c r="H62" s="11" t="s">
        <v>436</v>
      </c>
      <c r="I62" s="11" t="s">
        <v>437</v>
      </c>
      <c r="J62" s="10" t="s">
        <v>22</v>
      </c>
      <c r="K62" s="11"/>
      <c r="L62" s="11"/>
      <c r="M62" s="13" t="s">
        <v>49</v>
      </c>
    </row>
  </sheetData>
  <autoFilter xmlns:etc="http://www.wps.cn/officeDocument/2017/etCustomData" ref="A1:M62" etc:filterBottomFollowUsedRange="0">
    <extLst/>
  </autoFilter>
  <conditionalFormatting sqref="J55">
    <cfRule type="cellIs" dxfId="0" priority="8" operator="equal">
      <formula>"NOT RUN"</formula>
    </cfRule>
    <cfRule type="cellIs" dxfId="1" priority="7" operator="equal">
      <formula>"BLOCKED"</formula>
    </cfRule>
    <cfRule type="cellIs" dxfId="2" priority="6" operator="equal">
      <formula>"FAIL"</formula>
    </cfRule>
    <cfRule type="cellIs" dxfId="3" priority="5" operator="equal">
      <formula>"PASS"</formula>
    </cfRule>
  </conditionalFormatting>
  <conditionalFormatting sqref="I56">
    <cfRule type="cellIs" dxfId="0" priority="4" operator="equal">
      <formula>"NOT RUN"</formula>
    </cfRule>
    <cfRule type="cellIs" dxfId="1" priority="3" operator="equal">
      <formula>"BLOCKED"</formula>
    </cfRule>
    <cfRule type="cellIs" dxfId="2" priority="2" operator="equal">
      <formula>"FAIL"</formula>
    </cfRule>
    <cfRule type="cellIs" dxfId="3" priority="1" operator="equal">
      <formula>"PASS"</formula>
    </cfRule>
  </conditionalFormatting>
  <conditionalFormatting sqref="J2:J54 J56:J200">
    <cfRule type="cellIs" dxfId="3" priority="10" operator="equal">
      <formula>"PASS"</formula>
    </cfRule>
    <cfRule type="cellIs" dxfId="2" priority="11" operator="equal">
      <formula>"FAIL"</formula>
    </cfRule>
    <cfRule type="cellIs" dxfId="1" priority="12" operator="equal">
      <formula>"BLOCKED"</formula>
    </cfRule>
    <cfRule type="cellIs" dxfId="0" priority="13" operator="equal">
      <formula>"NOT RUN"</formula>
    </cfRule>
  </conditionalFormatting>
  <dataValidations count="1">
    <dataValidation type="list" sqref="I56:J56 J2:J55 J57:J200">
      <formula1>"PASS,FAIL,BLOCKED,NOT RUN"</formula1>
    </dataValidation>
  </dataValidations>
  <hyperlinks>
    <hyperlink ref="K2" r:id="rId1" display="https://drive.google.com/file/d/1hoxzxbmMg-PCvYAGtyb41rE_oqD9SkvS/view?usp=sharing"/>
    <hyperlink ref="K3" r:id="rId2" display="https://drive.google.com/file/d/1BjDsk42ONMVeprSOZHP95YYrXhxUPIM_/view?usp=sharing" tooltip="https://drive.google.com/file/d/1BjDsk42ONMVeprSOZHP95YYrXhxUPIM_/view?usp=sharing"/>
    <hyperlink ref="K4" r:id="rId3" display="https://drive.google.com/file/d/1vHAcXGGAA2VsUwEeSwzn9F4dBdD5ijrt/view?usp=sharing  https://drive.google.com/file/d/1ekWbMd4_J1aFbL1Nw4J9GLposVEEbU1u/view?usp=sharing" tooltip="https://drive.google.com/file/d/1vHAcXGGAA2VsUwEeSwzn9F4dBdD5ijrt/view?usp=sharing  https://drive.google.com/file/d/1ekWbMd4_J1aFbL1Nw4J9GLposVEEbU1u/view?usp=sharing"/>
    <hyperlink ref="K8" r:id="rId4" display="https://drive.google.com/file/d/1Gto4Be2eTh8mdct1W-KDhHueqAA-J3j2/view?usp=sharing " tooltip="https://drive.google.com/file/d/1Gto4Be2eTh8mdct1W-KDhHueqAA-J3j2/view?usp=sharing "/>
    <hyperlink ref="K7" r:id="rId5" display="https://drive.google.com/file/d/1rqGeyyRyECHOo4Pr3aoFEZHoeRfBdpFv/view?usp=sharing"/>
    <hyperlink ref="K9" r:id="rId1" display="https://drive.google.com/file/d/1hoxzxbmMg-PCvYAGtyb41rE_oqD9SkvS/view?usp=sharing"/>
    <hyperlink ref="K11" r:id="rId6" display="https://drive.google.com/file/d/1ZCF2rgsQHvO2qTzvPnd1UtS2O7nXMXqb/view?usp=sharing // https://drive.google.com/file/d/1Kc6mzqoBQxZ2CfeOdn8ZqkkGBj16s0-A/view?usp=sharing" tooltip="https://drive.google.com/file/d/1ZCF2rgsQHvO2qTzvPnd1UtS2O7nXMXqb/view?usp=sharing // https://drive.google.com/file/d/1Kc6mzqoBQxZ2CfeOdn8ZqkkGBj16s0-A/view?usp=sharing"/>
    <hyperlink ref="K25" r:id="rId7" display="https://drive.google.com/file/d/1CgNKMPlJSgbeQlWxdH6_76NivSjDzQb3/view?usp=sharing"/>
    <hyperlink ref="K26" r:id="rId1" display="https://drive.google.com/file/d/1hoxzxbmMg-PCvYAGtyb41rE_oqD9SkvS/view?usp=sharing"/>
  </hyperlink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workbookViewId="0">
      <selection activeCell="A1" sqref="A1"/>
    </sheetView>
  </sheetViews>
  <sheetFormatPr defaultColWidth="8.67619047619048" defaultRowHeight="15" outlineLevelCol="5"/>
  <cols>
    <col min="1" max="1" width="44" style="1" customWidth="1"/>
    <col min="2" max="6" width="12" style="1" customWidth="1"/>
  </cols>
  <sheetData>
    <row r="1" ht="17.25" customHeight="1" spans="1:6">
      <c r="A1" s="2" t="s">
        <v>438</v>
      </c>
    </row>
    <row r="3" customHeight="1" spans="1:6">
      <c r="A3" s="3" t="s">
        <v>9</v>
      </c>
      <c r="B3" s="3" t="s">
        <v>439</v>
      </c>
      <c r="C3" s="3" t="s">
        <v>440</v>
      </c>
    </row>
    <row r="4" customHeight="1" spans="1:6">
      <c r="A4" s="5" t="s">
        <v>22</v>
      </c>
      <c r="B4" s="5">
        <f>COUNTIF('Test Cases'!$J$2:$J$200,A4)</f>
        <v>39</v>
      </c>
      <c r="C4" s="6">
        <f>IF($B$8=0,0,B4/$B$8)</f>
        <v>0.65</v>
      </c>
    </row>
    <row r="5" customHeight="1" spans="1:6">
      <c r="A5" s="5" t="s">
        <v>119</v>
      </c>
      <c r="B5" s="5">
        <f>COUNTIF('Test Cases'!$J$2:$J$200,A5)</f>
        <v>19</v>
      </c>
      <c r="C5" s="6">
        <f>IF($B$8=0,0,B5/$B$8)</f>
        <v>0.316666666666667</v>
      </c>
    </row>
    <row r="6" customHeight="1" spans="1:6">
      <c r="A6" s="5" t="s">
        <v>217</v>
      </c>
      <c r="B6" s="5">
        <f>COUNTIF('Test Cases'!$J$2:$J$200,A6)</f>
        <v>2</v>
      </c>
      <c r="C6" s="6">
        <f>IF($B$8=0,0,B6/$B$8)</f>
        <v>0.0333333333333333</v>
      </c>
    </row>
    <row r="7" customHeight="1" spans="1:6">
      <c r="A7" s="5" t="s">
        <v>441</v>
      </c>
      <c r="B7" s="5">
        <f>COUNTIF('Test Cases'!$J$2:$J$200,A7)</f>
        <v>0</v>
      </c>
      <c r="C7" s="6">
        <f>IF($B$8=0,0,B7/$B$8)</f>
        <v>0</v>
      </c>
    </row>
    <row r="8" customHeight="1" spans="1:6">
      <c r="A8" s="7" t="s">
        <v>442</v>
      </c>
      <c r="B8" s="7">
        <f>SUM(B4:B7)</f>
        <v>60</v>
      </c>
      <c r="C8" s="8">
        <f>SUM(C4:C7)</f>
        <v>1</v>
      </c>
    </row>
    <row r="9" customHeight="1" spans="1:6">
      <c r="A9" s="5" t="s">
        <v>443</v>
      </c>
      <c r="B9" s="5">
        <f>B4+B5+B6</f>
        <v>60</v>
      </c>
      <c r="C9" s="6">
        <f>IF(B8=0,0,B9/B8)</f>
        <v>1</v>
      </c>
    </row>
    <row r="10" customHeight="1" spans="1:6">
      <c r="A10" s="5" t="s">
        <v>444</v>
      </c>
      <c r="B10" s="6">
        <f>IF(B4+B5=0,0,B4/(B4+B5))</f>
        <v>0.672413793103448</v>
      </c>
    </row>
    <row r="12" customHeight="1" spans="1:6">
      <c r="A12" s="7" t="s">
        <v>445</v>
      </c>
    </row>
    <row r="13" customHeight="1" spans="1:6">
      <c r="A13" s="3" t="s">
        <v>1</v>
      </c>
      <c r="B13" s="3" t="s">
        <v>22</v>
      </c>
      <c r="C13" s="3" t="s">
        <v>119</v>
      </c>
      <c r="D13" s="3" t="s">
        <v>217</v>
      </c>
      <c r="E13" s="3" t="s">
        <v>441</v>
      </c>
      <c r="F13" s="3" t="s">
        <v>442</v>
      </c>
    </row>
    <row r="14" customHeight="1" spans="1:6">
      <c r="A14" s="5" t="s">
        <v>14</v>
      </c>
      <c r="B14" s="5">
        <f>COUNTIFS('Test Cases'!$B$2:$B$200,$A14,'Test Cases'!$J$2:$J$200,"PASS")</f>
        <v>18</v>
      </c>
      <c r="C14" s="5">
        <f>COUNTIFS('Test Cases'!$B$2:$B$200,$A14,'Test Cases'!$J$2:$J$200,"FAIL")</f>
        <v>12</v>
      </c>
      <c r="D14" s="5">
        <f>COUNTIFS('Test Cases'!$B$2:$B$200,$A14,'Test Cases'!$J$2:$J$200,"BLOCKED")</f>
        <v>2</v>
      </c>
      <c r="E14" s="5">
        <f>COUNTIFS('Test Cases'!$B$2:$B$200,$A14,'Test Cases'!$J$2:$J$200,"NOT RUN")</f>
        <v>0</v>
      </c>
      <c r="F14" s="5">
        <f>SUM(B14:E14)</f>
        <v>32</v>
      </c>
    </row>
    <row r="15" customHeight="1" spans="1:6">
      <c r="A15" s="5" t="s">
        <v>256</v>
      </c>
      <c r="B15" s="5">
        <f>COUNTIFS('Test Cases'!$B$2:$B$200,$A15,'Test Cases'!$J$2:$J$200,"PASS")</f>
        <v>7</v>
      </c>
      <c r="C15" s="5">
        <f>COUNTIFS('Test Cases'!$B$2:$B$200,$A15,'Test Cases'!$J$2:$J$200,"FAIL")</f>
        <v>1</v>
      </c>
      <c r="D15" s="5">
        <f>COUNTIFS('Test Cases'!$B$2:$B$200,$A15,'Test Cases'!$J$2:$J$200,"BLOCKED")</f>
        <v>0</v>
      </c>
      <c r="E15" s="5">
        <f>COUNTIFS('Test Cases'!$B$2:$B$200,$A15,'Test Cases'!$J$2:$J$200,"NOT RUN")</f>
        <v>0</v>
      </c>
      <c r="F15" s="5">
        <f>SUM(B15:E15)</f>
        <v>8</v>
      </c>
    </row>
    <row r="16" customHeight="1" spans="1:6">
      <c r="A16" s="5" t="s">
        <v>308</v>
      </c>
      <c r="B16" s="5">
        <f>COUNTIFS('Test Cases'!$B$2:$B$200,$A16,'Test Cases'!$J$2:$J$200,"PASS")</f>
        <v>10</v>
      </c>
      <c r="C16" s="5">
        <f>COUNTIFS('Test Cases'!$B$2:$B$200,$A16,'Test Cases'!$J$2:$J$200,"FAIL")</f>
        <v>4</v>
      </c>
      <c r="D16" s="5">
        <f>COUNTIFS('Test Cases'!$B$2:$B$200,$A16,'Test Cases'!$J$2:$J$200,"BLOCKED")</f>
        <v>0</v>
      </c>
      <c r="E16" s="5">
        <f>COUNTIFS('Test Cases'!$B$2:$B$200,$A16,'Test Cases'!$J$2:$J$200,"NOT RUN")</f>
        <v>0</v>
      </c>
      <c r="F16" s="5">
        <f>SUM(B16:E16)</f>
        <v>14</v>
      </c>
    </row>
    <row r="17" customHeight="1" spans="1:6">
      <c r="A17" s="5" t="s">
        <v>401</v>
      </c>
      <c r="B17" s="5">
        <f>COUNTIFS('Test Cases'!$B$2:$B$200,$A17,'Test Cases'!$J$2:$J$200,"PASS")</f>
        <v>1</v>
      </c>
      <c r="C17" s="5">
        <f>COUNTIFS('Test Cases'!$B$2:$B$200,$A17,'Test Cases'!$J$2:$J$200,"FAIL")</f>
        <v>2</v>
      </c>
      <c r="D17" s="5">
        <f>COUNTIFS('Test Cases'!$B$2:$B$200,$A17,'Test Cases'!$J$2:$J$200,"BLOCKED")</f>
        <v>0</v>
      </c>
      <c r="E17" s="5">
        <f>COUNTIFS('Test Cases'!$B$2:$B$200,$A17,'Test Cases'!$J$2:$J$200,"NOT RUN")</f>
        <v>0</v>
      </c>
      <c r="F17" s="5">
        <f>SUM(B17:E17)</f>
        <v>3</v>
      </c>
    </row>
    <row r="18" customHeight="1" spans="1:6">
      <c r="A18" s="5" t="s">
        <v>420</v>
      </c>
      <c r="B18" s="5">
        <f>COUNTIFS('Test Cases'!$B$2:$B$200,$A18,'Test Cases'!$J$2:$J$200,"PASS")</f>
        <v>3</v>
      </c>
      <c r="C18" s="5">
        <f>COUNTIFS('Test Cases'!$B$2:$B$200,$A18,'Test Cases'!$J$2:$J$200,"FAIL")</f>
        <v>0</v>
      </c>
      <c r="D18" s="5">
        <f>COUNTIFS('Test Cases'!$B$2:$B$200,$A18,'Test Cases'!$J$2:$J$200,"BLOCKED")</f>
        <v>0</v>
      </c>
      <c r="E18" s="5">
        <f>COUNTIFS('Test Cases'!$B$2:$B$200,$A18,'Test Cases'!$J$2:$J$200,"NOT RUN")</f>
        <v>0</v>
      </c>
      <c r="F18" s="5">
        <f>SUM(B18:E18)</f>
        <v>3</v>
      </c>
    </row>
    <row r="19" customHeight="1" spans="1:6">
      <c r="A19" s="7" t="s">
        <v>446</v>
      </c>
    </row>
    <row r="20" customHeight="1" spans="1:6">
      <c r="A20" s="5" t="s">
        <v>16</v>
      </c>
      <c r="B20" s="5">
        <f>COUNTIF('Test Cases'!$D$2:$D$200,A20)</f>
        <v>24</v>
      </c>
    </row>
    <row r="21" customHeight="1" spans="1:6">
      <c r="A21" s="5" t="s">
        <v>28</v>
      </c>
      <c r="B21" s="5">
        <f>COUNTIF('Test Cases'!$D$2:$D$200,A21)</f>
        <v>22</v>
      </c>
    </row>
    <row r="22" customHeight="1" spans="1:6">
      <c r="A22" s="5" t="s">
        <v>68</v>
      </c>
      <c r="B22" s="5">
        <f>COUNTIF('Test Cases'!$D$2:$D$200,A22)</f>
        <v>9</v>
      </c>
    </row>
    <row r="23" customHeight="1" spans="1:6">
      <c r="A23" s="5" t="s">
        <v>229</v>
      </c>
      <c r="B23" s="5">
        <f>COUNTIF('Test Cases'!$D$2:$D$200,A23)</f>
        <v>2</v>
      </c>
    </row>
    <row r="24" customHeight="1" spans="1:6">
      <c r="A24" s="5" t="s">
        <v>420</v>
      </c>
      <c r="B24" s="5">
        <f>COUNTIF('Test Cases'!$D$2:$D$200,A24)</f>
        <v>3</v>
      </c>
    </row>
    <row r="26" customHeight="1" spans="1:6">
      <c r="A26" s="7" t="s">
        <v>447</v>
      </c>
      <c r="B26" s="5" t="s">
        <v>448</v>
      </c>
    </row>
    <row r="27" customHeight="1" spans="1:6">
      <c r="A27" s="7" t="s">
        <v>449</v>
      </c>
      <c r="B27" s="5" t="s">
        <v>450</v>
      </c>
    </row>
    <row r="28" customHeight="1" spans="1:6">
      <c r="A28" s="7" t="s">
        <v>451</v>
      </c>
      <c r="B28" s="5" t="s">
        <v>452</v>
      </c>
    </row>
    <row r="30" customHeight="1" spans="1:6">
      <c r="A30" s="5" t="s">
        <v>453</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A1" sqref="A1"/>
    </sheetView>
  </sheetViews>
  <sheetFormatPr defaultColWidth="8.67619047619048" defaultRowHeight="15" outlineLevelCol="3"/>
  <cols>
    <col min="1" max="1" width="40" style="1" customWidth="1"/>
    <col min="2" max="2" width="32" style="1" customWidth="1"/>
    <col min="3" max="3" width="22" style="1" customWidth="1"/>
    <col min="4" max="4" width="60" style="1" customWidth="1"/>
  </cols>
  <sheetData>
    <row r="1" ht="17.25" customHeight="1" spans="1:4">
      <c r="A1" s="2" t="s">
        <v>454</v>
      </c>
    </row>
    <row r="3" customHeight="1" spans="1:4">
      <c r="A3" s="3" t="s">
        <v>455</v>
      </c>
      <c r="B3" s="3" t="s">
        <v>456</v>
      </c>
      <c r="C3" s="3" t="s">
        <v>457</v>
      </c>
      <c r="D3" s="3" t="s">
        <v>458</v>
      </c>
    </row>
    <row r="4" ht="23.25" customHeight="1" spans="1:4">
      <c r="A4" s="4" t="s">
        <v>459</v>
      </c>
      <c r="B4" s="4" t="s">
        <v>426</v>
      </c>
      <c r="C4" s="4" t="s">
        <v>460</v>
      </c>
      <c r="D4" s="4" t="s">
        <v>461</v>
      </c>
    </row>
    <row r="5" customHeight="1" spans="1:4">
      <c r="A5" s="4" t="s">
        <v>462</v>
      </c>
      <c r="B5" s="4" t="s">
        <v>463</v>
      </c>
      <c r="C5" s="4" t="s">
        <v>464</v>
      </c>
      <c r="D5" s="4" t="s">
        <v>465</v>
      </c>
    </row>
    <row r="6" customHeight="1" spans="1:4">
      <c r="A6" s="4" t="s">
        <v>466</v>
      </c>
      <c r="B6" s="4" t="s">
        <v>467</v>
      </c>
      <c r="C6" s="4" t="s">
        <v>464</v>
      </c>
      <c r="D6" s="4" t="s">
        <v>468</v>
      </c>
    </row>
    <row r="7" customHeight="1" spans="1:4">
      <c r="A7" s="4" t="s">
        <v>469</v>
      </c>
      <c r="B7" s="4" t="s">
        <v>470</v>
      </c>
      <c r="C7" s="4" t="s">
        <v>464</v>
      </c>
      <c r="D7" s="4" t="s">
        <v>471</v>
      </c>
    </row>
    <row r="8" customHeight="1" spans="1:4">
      <c r="A8" s="4" t="s">
        <v>472</v>
      </c>
      <c r="B8" s="4" t="s">
        <v>473</v>
      </c>
      <c r="C8" s="4" t="s">
        <v>464</v>
      </c>
      <c r="D8" s="4" t="s">
        <v>474</v>
      </c>
    </row>
    <row r="9" customHeight="1" spans="1:4">
      <c r="A9" s="4" t="s">
        <v>475</v>
      </c>
      <c r="B9" s="4" t="s">
        <v>476</v>
      </c>
      <c r="C9" s="4" t="s">
        <v>464</v>
      </c>
      <c r="D9" s="4"/>
    </row>
    <row r="10" customHeight="1" spans="1:4">
      <c r="A10" s="4" t="s">
        <v>477</v>
      </c>
      <c r="B10" s="4" t="s">
        <v>478</v>
      </c>
      <c r="C10" s="4" t="s">
        <v>464</v>
      </c>
      <c r="D10" s="4" t="s">
        <v>479</v>
      </c>
    </row>
    <row r="11" customHeight="1" spans="1:4">
      <c r="A11" s="4" t="s">
        <v>480</v>
      </c>
      <c r="B11" s="4" t="s">
        <v>481</v>
      </c>
      <c r="C11" s="4" t="s">
        <v>464</v>
      </c>
      <c r="D11" s="4" t="s">
        <v>482</v>
      </c>
    </row>
    <row r="12" customHeight="1" spans="1:4">
      <c r="A12" s="4" t="s">
        <v>483</v>
      </c>
      <c r="B12" s="4" t="s">
        <v>484</v>
      </c>
      <c r="C12" s="4" t="s">
        <v>464</v>
      </c>
      <c r="D12" s="4" t="s">
        <v>485</v>
      </c>
    </row>
    <row r="13" customHeight="1" spans="1:4">
      <c r="A13" s="4" t="s">
        <v>486</v>
      </c>
      <c r="B13" s="4" t="s">
        <v>487</v>
      </c>
      <c r="C13" s="4" t="s">
        <v>464</v>
      </c>
      <c r="D13" s="4"/>
    </row>
    <row r="14" customHeight="1" spans="1:4">
      <c r="A14" s="4" t="s">
        <v>488</v>
      </c>
      <c r="B14" s="4" t="s">
        <v>489</v>
      </c>
      <c r="C14" s="4" t="s">
        <v>464</v>
      </c>
      <c r="D14" s="4"/>
    </row>
    <row r="15" customHeight="1" spans="1:4">
      <c r="A15" s="4" t="s">
        <v>490</v>
      </c>
      <c r="B15" s="4" t="s">
        <v>365</v>
      </c>
      <c r="C15" s="4" t="s">
        <v>491</v>
      </c>
      <c r="D15" s="4" t="s">
        <v>492</v>
      </c>
    </row>
    <row r="16" customHeight="1" spans="1:4">
      <c r="A16" s="4" t="s">
        <v>493</v>
      </c>
      <c r="B16" s="4" t="s">
        <v>494</v>
      </c>
      <c r="C16" s="4" t="s">
        <v>464</v>
      </c>
      <c r="D16" s="4" t="s">
        <v>495</v>
      </c>
    </row>
    <row r="17" customHeight="1" spans="1:4">
      <c r="A17" s="4" t="s">
        <v>496</v>
      </c>
      <c r="B17" s="4" t="s">
        <v>497</v>
      </c>
      <c r="C17" s="4" t="s">
        <v>464</v>
      </c>
      <c r="D17" s="4" t="s">
        <v>498</v>
      </c>
    </row>
    <row r="18" customHeight="1" spans="1:4">
      <c r="A18" s="4" t="s">
        <v>499</v>
      </c>
      <c r="B18" s="4" t="s">
        <v>500</v>
      </c>
      <c r="C18" s="4" t="s">
        <v>501</v>
      </c>
      <c r="D18" s="4" t="s">
        <v>502</v>
      </c>
    </row>
    <row r="19" customHeight="1" spans="1:4">
      <c r="A19" s="4" t="s">
        <v>503</v>
      </c>
      <c r="B19" s="4" t="s">
        <v>500</v>
      </c>
      <c r="C19" s="4" t="s">
        <v>504</v>
      </c>
      <c r="D19" s="4" t="s">
        <v>505</v>
      </c>
    </row>
    <row r="20" customHeight="1" spans="1:4">
      <c r="A20" s="4" t="s">
        <v>506</v>
      </c>
      <c r="B20" s="4" t="s">
        <v>500</v>
      </c>
      <c r="C20" s="4" t="s">
        <v>504</v>
      </c>
      <c r="D20" s="4" t="s">
        <v>507</v>
      </c>
    </row>
  </sheetData>
  <conditionalFormatting sqref="C4:C20">
    <cfRule type="cellIs" dxfId="3" priority="2" operator="equal">
      <formula>"Covered"</formula>
    </cfRule>
    <cfRule type="cellIs" dxfId="1" priority="3" operator="equal">
      <formula>"Partial"</formula>
    </cfRule>
    <cfRule type="cellIs" dxfId="2" priority="4" operator="equal">
      <formula>"Gap"</formula>
    </cfRule>
    <cfRule type="cellIs" dxfId="0" priority="5" operator="equal">
      <formula>"Out of scope"</formula>
    </cfRule>
  </conditionalFormatting>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selection activeCell="A1" sqref="A1"/>
    </sheetView>
  </sheetViews>
  <sheetFormatPr defaultColWidth="8.67619047619048" defaultRowHeight="15" outlineLevelCol="3"/>
  <cols>
    <col min="1" max="1" width="10" style="1" customWidth="1"/>
    <col min="2" max="2" width="60" style="1" customWidth="1"/>
    <col min="3" max="3" width="50" style="1" customWidth="1"/>
    <col min="4" max="4" width="60" style="1" customWidth="1"/>
  </cols>
  <sheetData>
    <row r="1" ht="17.25" customHeight="1" spans="1:4">
      <c r="A1" s="2" t="s">
        <v>508</v>
      </c>
    </row>
    <row r="3" customHeight="1" spans="1:4">
      <c r="A3" s="3" t="s">
        <v>4</v>
      </c>
      <c r="B3" s="3" t="s">
        <v>456</v>
      </c>
      <c r="C3" s="3" t="s">
        <v>509</v>
      </c>
      <c r="D3" s="3" t="s">
        <v>510</v>
      </c>
    </row>
    <row r="4" ht="23.25" customHeight="1" spans="1:4">
      <c r="A4" s="4" t="s">
        <v>17</v>
      </c>
      <c r="B4" s="4" t="s">
        <v>511</v>
      </c>
      <c r="C4" s="4" t="s">
        <v>512</v>
      </c>
      <c r="D4" s="4" t="s">
        <v>513</v>
      </c>
    </row>
    <row r="5" ht="34.5" customHeight="1" spans="1:4">
      <c r="A5" s="4" t="s">
        <v>17</v>
      </c>
      <c r="B5" s="4" t="s">
        <v>514</v>
      </c>
      <c r="C5" s="4" t="s">
        <v>515</v>
      </c>
      <c r="D5" s="4" t="s">
        <v>516</v>
      </c>
    </row>
    <row r="6" ht="34.5" customHeight="1" spans="1:4">
      <c r="A6" s="4" t="s">
        <v>17</v>
      </c>
      <c r="B6" s="4" t="s">
        <v>517</v>
      </c>
      <c r="C6" s="4" t="s">
        <v>518</v>
      </c>
      <c r="D6" s="4" t="s">
        <v>519</v>
      </c>
    </row>
    <row r="7" customHeight="1" spans="1:4">
      <c r="A7" s="4" t="s">
        <v>17</v>
      </c>
      <c r="B7" s="4" t="s">
        <v>520</v>
      </c>
      <c r="C7" s="4" t="s">
        <v>521</v>
      </c>
      <c r="D7" s="4" t="s">
        <v>522</v>
      </c>
    </row>
    <row r="8" customHeight="1" spans="1:4">
      <c r="A8" s="4" t="s">
        <v>69</v>
      </c>
      <c r="B8" s="4" t="s">
        <v>523</v>
      </c>
      <c r="C8" s="4" t="s">
        <v>524</v>
      </c>
      <c r="D8" s="4" t="s">
        <v>525</v>
      </c>
    </row>
    <row r="9" ht="23.25" customHeight="1" spans="1:4">
      <c r="A9" s="4" t="s">
        <v>69</v>
      </c>
      <c r="B9" s="4" t="s">
        <v>35</v>
      </c>
      <c r="C9" s="4" t="s">
        <v>526</v>
      </c>
      <c r="D9" s="4" t="s">
        <v>527</v>
      </c>
    </row>
    <row r="10" customHeight="1" spans="1:4">
      <c r="A10" s="4" t="s">
        <v>69</v>
      </c>
      <c r="B10" s="4" t="s">
        <v>528</v>
      </c>
      <c r="C10" s="4" t="s">
        <v>529</v>
      </c>
      <c r="D10" s="4" t="s">
        <v>530</v>
      </c>
    </row>
    <row r="11" ht="23.25" customHeight="1" spans="1:4">
      <c r="A11" s="4" t="s">
        <v>69</v>
      </c>
      <c r="B11" s="4" t="s">
        <v>531</v>
      </c>
      <c r="C11" s="4" t="s">
        <v>532</v>
      </c>
      <c r="D11" s="4" t="s">
        <v>533</v>
      </c>
    </row>
    <row r="12" customHeight="1" spans="1:4">
      <c r="A12" s="4" t="s">
        <v>69</v>
      </c>
      <c r="B12" s="4" t="s">
        <v>534</v>
      </c>
      <c r="C12" s="4" t="s">
        <v>535</v>
      </c>
      <c r="D12" s="4" t="s">
        <v>536</v>
      </c>
    </row>
    <row r="13" customHeight="1" spans="1:4">
      <c r="A13" s="4" t="s">
        <v>130</v>
      </c>
      <c r="B13" s="4" t="s">
        <v>537</v>
      </c>
      <c r="C13" s="4" t="s">
        <v>538</v>
      </c>
      <c r="D13" s="4" t="s">
        <v>539</v>
      </c>
    </row>
    <row r="14" customHeight="1" spans="1:4">
      <c r="A14" s="4" t="s">
        <v>130</v>
      </c>
      <c r="B14" s="4" t="s">
        <v>540</v>
      </c>
      <c r="C14" s="4" t="s">
        <v>541</v>
      </c>
      <c r="D14" s="4" t="s">
        <v>542</v>
      </c>
    </row>
    <row r="15" customHeight="1" spans="1:4">
      <c r="A15" s="4" t="s">
        <v>130</v>
      </c>
      <c r="B15" s="4" t="s">
        <v>543</v>
      </c>
      <c r="C15" s="4" t="s">
        <v>544</v>
      </c>
      <c r="D15" s="4" t="s">
        <v>545</v>
      </c>
    </row>
    <row r="16" customHeight="1" spans="1:4">
      <c r="A16" s="4" t="s">
        <v>546</v>
      </c>
      <c r="B16" s="4" t="s">
        <v>547</v>
      </c>
      <c r="C16" s="4" t="s">
        <v>548</v>
      </c>
      <c r="D16" s="4" t="s">
        <v>549</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Test Cases</vt:lpstr>
      <vt:lpstr>Summary</vt:lpstr>
      <vt:lpstr>Coverage Map</vt:lpstr>
      <vt:lpstr>Review Flags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Haifa</cp:lastModifiedBy>
  <cp:revision>0</cp:revision>
  <dcterms:created xsi:type="dcterms:W3CDTF">2026-10-23T13:39:00Z</dcterms:created>
  <dcterms:modified xsi:type="dcterms:W3CDTF">2026-10-26T15:44:39Z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ABE28E1FCC7B41AE85E07191FBF5186B_12</vt:lpwstr>
  </property>
  <property fmtid="{D5CDD505-2E9C-101B-9397-08002B2CF9AE}" pid="3" name="KSOProductBuildVer">
    <vt:lpwstr>1033-12.1.0.29162</vt:lpwstr>
  </property>
  <property fmtid="{D5CDD505-2E9C-101B-9397-08002B2CF9AE}" pid="4" name="CalculationRule">
    <vt:i4>0</vt:i4>
  </property>
</Properties>
</file>